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nttlimited-my.sharepoint.com/personal/fairuza_hidayat_global_ntt/Documents/MY WORK/FORMAT/2022/"/>
    </mc:Choice>
  </mc:AlternateContent>
  <xr:revisionPtr revIDLastSave="7" documentId="8_{8DA7F7F2-439A-44F7-A15A-0E1833876F53}" xr6:coauthVersionLast="47" xr6:coauthVersionMax="47" xr10:uidLastSave="{85913517-BC97-4362-AAD5-81B0760B6BFF}"/>
  <bookViews>
    <workbookView xWindow="-110" yWindow="-110" windowWidth="19420" windowHeight="10420" activeTab="2" xr2:uid="{00000000-000D-0000-FFFF-FFFF00000000}"/>
  </bookViews>
  <sheets>
    <sheet name="Flow Timesheet Submission" sheetId="8" r:id="rId1"/>
    <sheet name="Help!" sheetId="10" state="veryHidden" r:id="rId2"/>
    <sheet name="Macro Activation" sheetId="9" r:id="rId3"/>
    <sheet name="Timesheet-Regular" sheetId="1" state="veryHidden" r:id="rId4"/>
    <sheet name="OT Form" sheetId="11" state="veryHidden" r:id="rId5"/>
    <sheet name="Summary" sheetId="3" state="veryHidden" r:id="rId6"/>
    <sheet name="List" sheetId="2" state="veryHidden" r:id="rId7"/>
    <sheet name="Sheet2" sheetId="13" state="veryHidden" r:id="rId8"/>
  </sheets>
  <externalReferences>
    <externalReference r:id="rId9"/>
  </externalReferences>
  <definedNames>
    <definedName name="_xlnm._FilterDatabase" localSheetId="1" hidden="1">'Help!'!$A$23:$F$61</definedName>
    <definedName name="_xlnm._FilterDatabase" localSheetId="6" hidden="1">List!$B$3</definedName>
    <definedName name="_xlnm._FilterDatabase" localSheetId="4" hidden="1">'OT Form'!$C$8:$N$70</definedName>
    <definedName name="_xlnm._FilterDatabase" localSheetId="3" hidden="1">'Timesheet-Regular'!$B$10:$R$72</definedName>
    <definedName name="A">#REF!</definedName>
    <definedName name="B">#REF!</definedName>
    <definedName name="D">#REF!</definedName>
    <definedName name="General">List!$F$3:$F$1449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1" i="1" l="1"/>
  <c r="F69" i="1"/>
  <c r="F67" i="1"/>
  <c r="F65" i="1"/>
  <c r="F63" i="1"/>
  <c r="F61" i="1"/>
  <c r="F59" i="1"/>
  <c r="F57" i="1"/>
  <c r="F55" i="1"/>
  <c r="F53" i="1"/>
  <c r="F51" i="1"/>
  <c r="F49" i="1"/>
  <c r="F47" i="1"/>
  <c r="F45" i="1"/>
  <c r="F43" i="1"/>
  <c r="F41" i="1"/>
  <c r="F39" i="1"/>
  <c r="F37" i="1"/>
  <c r="F35" i="1"/>
  <c r="F33" i="1"/>
  <c r="F31" i="1"/>
  <c r="F29" i="1"/>
  <c r="F27" i="1"/>
  <c r="F25" i="1"/>
  <c r="F23" i="1"/>
  <c r="F21" i="1"/>
  <c r="F19" i="1"/>
  <c r="F17" i="1"/>
  <c r="F15" i="1"/>
  <c r="F11" i="1"/>
  <c r="B6" i="13"/>
  <c r="B64" i="13"/>
  <c r="B58" i="13"/>
  <c r="B56" i="13"/>
  <c r="B54" i="13"/>
  <c r="B52" i="13"/>
  <c r="B50" i="13"/>
  <c r="B44" i="13"/>
  <c r="B42" i="13"/>
  <c r="B40" i="13"/>
  <c r="B38" i="13"/>
  <c r="B36" i="13"/>
  <c r="B30" i="13"/>
  <c r="B28" i="13"/>
  <c r="B26" i="13"/>
  <c r="B24" i="13"/>
  <c r="B22" i="13"/>
  <c r="B16" i="13"/>
  <c r="B14" i="13"/>
  <c r="B10" i="13"/>
  <c r="F6" i="11"/>
  <c r="B65" i="13"/>
  <c r="B63" i="13"/>
  <c r="B61" i="13"/>
  <c r="B59" i="13"/>
  <c r="B55" i="13"/>
  <c r="B53" i="13"/>
  <c r="B47" i="13"/>
  <c r="B45" i="13"/>
  <c r="B43" i="13"/>
  <c r="B41" i="13"/>
  <c r="B39" i="13"/>
  <c r="B37" i="13"/>
  <c r="B31" i="13"/>
  <c r="B29" i="13"/>
  <c r="B27" i="13"/>
  <c r="B25" i="13"/>
  <c r="B21" i="13"/>
  <c r="B19" i="13"/>
  <c r="B17" i="13"/>
  <c r="B13" i="13"/>
  <c r="B11" i="13"/>
  <c r="B7" i="13"/>
  <c r="B62" i="13"/>
  <c r="B60" i="13"/>
  <c r="B48" i="13"/>
  <c r="B46" i="13"/>
  <c r="B34" i="13"/>
  <c r="B32" i="13"/>
  <c r="B20" i="13"/>
  <c r="B18" i="13"/>
  <c r="B57" i="13" l="1"/>
  <c r="B51" i="13"/>
  <c r="B49" i="13"/>
  <c r="B35" i="13"/>
  <c r="B33" i="13"/>
  <c r="C33" i="13" s="1"/>
  <c r="G33" i="13" s="1"/>
  <c r="B23" i="13"/>
  <c r="B15" i="13"/>
  <c r="C65" i="13"/>
  <c r="G65" i="13" s="1"/>
  <c r="C64" i="13"/>
  <c r="C61" i="13"/>
  <c r="C60" i="13"/>
  <c r="C59" i="13"/>
  <c r="C58" i="13"/>
  <c r="C47" i="13"/>
  <c r="G47" i="13" s="1"/>
  <c r="C46" i="13"/>
  <c r="C44" i="13"/>
  <c r="C32" i="13"/>
  <c r="C31" i="13"/>
  <c r="G31" i="13" s="1"/>
  <c r="C30" i="13"/>
  <c r="C19" i="13"/>
  <c r="G19" i="13" s="1"/>
  <c r="C18" i="13"/>
  <c r="C17" i="13"/>
  <c r="G17" i="13" s="1"/>
  <c r="C16" i="13"/>
  <c r="F18" i="2"/>
  <c r="K65" i="2"/>
  <c r="K67" i="2"/>
  <c r="I71" i="1"/>
  <c r="H71" i="1"/>
  <c r="I69" i="1"/>
  <c r="H69" i="1"/>
  <c r="I67" i="1"/>
  <c r="H67" i="1"/>
  <c r="I65" i="1"/>
  <c r="H65" i="1"/>
  <c r="I63" i="1"/>
  <c r="H63" i="1"/>
  <c r="I61" i="1"/>
  <c r="H61" i="1"/>
  <c r="I59" i="1"/>
  <c r="H59" i="1"/>
  <c r="I57" i="1"/>
  <c r="H57" i="1"/>
  <c r="I55" i="1"/>
  <c r="H55" i="1"/>
  <c r="I53" i="1"/>
  <c r="H53" i="1"/>
  <c r="I51" i="1"/>
  <c r="H51" i="1"/>
  <c r="I49" i="1"/>
  <c r="H49" i="1"/>
  <c r="I47" i="1"/>
  <c r="H47" i="1"/>
  <c r="I45" i="1"/>
  <c r="H45" i="1"/>
  <c r="I43" i="1"/>
  <c r="H43" i="1"/>
  <c r="I41" i="1"/>
  <c r="H41" i="1"/>
  <c r="I39" i="1"/>
  <c r="H39" i="1"/>
  <c r="I37" i="1"/>
  <c r="H37" i="1"/>
  <c r="I33" i="1"/>
  <c r="H33" i="1"/>
  <c r="I31" i="1"/>
  <c r="H31" i="1"/>
  <c r="I29" i="1"/>
  <c r="H29" i="1"/>
  <c r="I27" i="1"/>
  <c r="H27" i="1"/>
  <c r="I25" i="1"/>
  <c r="H25" i="1"/>
  <c r="I23" i="1"/>
  <c r="H23" i="1"/>
  <c r="I21" i="1"/>
  <c r="H21" i="1"/>
  <c r="I19" i="1"/>
  <c r="H19" i="1"/>
  <c r="I17" i="1"/>
  <c r="H17" i="1"/>
  <c r="I15" i="1"/>
  <c r="H15" i="1"/>
  <c r="I13" i="1"/>
  <c r="H13" i="1"/>
  <c r="I11" i="1"/>
  <c r="H11" i="1"/>
  <c r="I35" i="1"/>
  <c r="H35" i="1"/>
  <c r="L5" i="2"/>
  <c r="L7" i="2"/>
  <c r="L9" i="2"/>
  <c r="L11" i="2"/>
  <c r="L13" i="2"/>
  <c r="L15" i="2"/>
  <c r="L17" i="2"/>
  <c r="L19" i="2"/>
  <c r="L21" i="2"/>
  <c r="L23" i="2"/>
  <c r="L25" i="2"/>
  <c r="L27" i="2"/>
  <c r="L29" i="2"/>
  <c r="L31" i="2"/>
  <c r="L33" i="2"/>
  <c r="L35" i="2"/>
  <c r="L37" i="2"/>
  <c r="L39" i="2"/>
  <c r="L41" i="2"/>
  <c r="L43" i="2"/>
  <c r="L45" i="2"/>
  <c r="L47" i="2"/>
  <c r="L49" i="2"/>
  <c r="L51" i="2"/>
  <c r="L53" i="2"/>
  <c r="L55" i="2"/>
  <c r="L57" i="2"/>
  <c r="L61" i="2"/>
  <c r="L67" i="2"/>
  <c r="L3" i="2"/>
  <c r="F5" i="11"/>
  <c r="D9" i="11" s="1"/>
  <c r="C11" i="1"/>
  <c r="A4" i="13" s="1"/>
  <c r="F4" i="11"/>
  <c r="F3" i="11"/>
  <c r="B82" i="11" s="1"/>
  <c r="F2" i="11"/>
  <c r="K77" i="1"/>
  <c r="I77" i="1"/>
  <c r="J77" i="1"/>
  <c r="A29" i="10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B84" i="1"/>
  <c r="J3" i="2"/>
  <c r="J7" i="2" s="1"/>
  <c r="H5" i="3"/>
  <c r="I5" i="3" s="1"/>
  <c r="F45" i="13" l="1"/>
  <c r="J5" i="2"/>
  <c r="C45" i="13"/>
  <c r="G45" i="13" s="1"/>
  <c r="F64" i="13"/>
  <c r="F59" i="13"/>
  <c r="J6" i="2"/>
  <c r="F17" i="13"/>
  <c r="F33" i="13"/>
  <c r="C13" i="1"/>
  <c r="B11" i="1"/>
  <c r="F47" i="13"/>
  <c r="F31" i="13"/>
  <c r="G59" i="13"/>
  <c r="F19" i="13"/>
  <c r="N77" i="1"/>
  <c r="O77" i="1" s="1"/>
  <c r="L5" i="3"/>
  <c r="M5" i="3" s="1"/>
  <c r="J5" i="3"/>
  <c r="K5" i="3" s="1"/>
  <c r="L77" i="1"/>
  <c r="M77" i="1" s="1"/>
  <c r="D11" i="11"/>
  <c r="C9" i="11"/>
  <c r="G61" i="13"/>
  <c r="F61" i="13"/>
  <c r="F65" i="13"/>
  <c r="G64" i="13"/>
  <c r="A6" i="13" l="1"/>
  <c r="B13" i="1"/>
  <c r="C15" i="1"/>
  <c r="A8" i="13" s="1"/>
  <c r="C11" i="11"/>
  <c r="D13" i="11"/>
  <c r="C17" i="1" l="1"/>
  <c r="B17" i="1" s="1"/>
  <c r="C6" i="13"/>
  <c r="D6" i="13" s="1"/>
  <c r="B15" i="1"/>
  <c r="C13" i="11"/>
  <c r="D15" i="11"/>
  <c r="C19" i="1" l="1"/>
  <c r="B19" i="1" s="1"/>
  <c r="A10" i="13"/>
  <c r="C7" i="13"/>
  <c r="G7" i="13" s="1"/>
  <c r="F7" i="13"/>
  <c r="G12" i="11" s="1"/>
  <c r="E12" i="11" s="1"/>
  <c r="F6" i="13"/>
  <c r="G11" i="11" s="1"/>
  <c r="G6" i="13"/>
  <c r="D17" i="11"/>
  <c r="C15" i="11"/>
  <c r="A12" i="13" l="1"/>
  <c r="C21" i="1"/>
  <c r="B21" i="1" s="1"/>
  <c r="C10" i="13"/>
  <c r="D7" i="13"/>
  <c r="F12" i="11"/>
  <c r="C17" i="11"/>
  <c r="D19" i="11"/>
  <c r="K11" i="2"/>
  <c r="C23" i="1" l="1"/>
  <c r="C25" i="1" s="1"/>
  <c r="A14" i="13"/>
  <c r="H6" i="13"/>
  <c r="E6" i="13"/>
  <c r="F13" i="13"/>
  <c r="G18" i="11" s="1"/>
  <c r="E18" i="11" s="1"/>
  <c r="C13" i="13"/>
  <c r="G13" i="13" s="1"/>
  <c r="F10" i="13"/>
  <c r="G15" i="11" s="1"/>
  <c r="C11" i="13"/>
  <c r="G11" i="13" s="1"/>
  <c r="F11" i="13"/>
  <c r="G16" i="11" s="1"/>
  <c r="F16" i="11" s="1"/>
  <c r="G10" i="13"/>
  <c r="D10" i="13"/>
  <c r="C19" i="11"/>
  <c r="D21" i="11"/>
  <c r="C21" i="11" s="1"/>
  <c r="F13" i="1" l="1"/>
  <c r="E11" i="11" s="1"/>
  <c r="B23" i="1"/>
  <c r="D17" i="13" s="1"/>
  <c r="A16" i="13"/>
  <c r="D11" i="13"/>
  <c r="H10" i="13" s="1"/>
  <c r="E16" i="11"/>
  <c r="C15" i="13"/>
  <c r="G15" i="13" s="1"/>
  <c r="F15" i="13"/>
  <c r="G20" i="11" s="1"/>
  <c r="F20" i="11" s="1"/>
  <c r="K13" i="2"/>
  <c r="C14" i="13"/>
  <c r="F16" i="13"/>
  <c r="G16" i="13"/>
  <c r="F18" i="11"/>
  <c r="A18" i="13"/>
  <c r="C27" i="1"/>
  <c r="B25" i="1"/>
  <c r="D23" i="11"/>
  <c r="K5" i="2" l="1"/>
  <c r="I11" i="11"/>
  <c r="F11" i="11"/>
  <c r="H11" i="11" s="1"/>
  <c r="B9" i="13"/>
  <c r="D16" i="13"/>
  <c r="H16" i="13" s="1"/>
  <c r="E10" i="13"/>
  <c r="G21" i="11"/>
  <c r="G18" i="13"/>
  <c r="F18" i="13"/>
  <c r="F14" i="13"/>
  <c r="G19" i="11" s="1"/>
  <c r="E19" i="11" s="1"/>
  <c r="I19" i="11" s="1"/>
  <c r="D18" i="13"/>
  <c r="E20" i="11"/>
  <c r="G22" i="11"/>
  <c r="B27" i="1"/>
  <c r="C29" i="1"/>
  <c r="A20" i="13"/>
  <c r="C23" i="11"/>
  <c r="G24" i="11" s="1"/>
  <c r="D25" i="11"/>
  <c r="D19" i="13"/>
  <c r="F9" i="13" l="1"/>
  <c r="G14" i="11" s="1"/>
  <c r="C9" i="13"/>
  <c r="G9" i="13" s="1"/>
  <c r="K7" i="2"/>
  <c r="B8" i="13"/>
  <c r="E16" i="13"/>
  <c r="K15" i="2" s="1"/>
  <c r="E15" i="11"/>
  <c r="F15" i="11" s="1"/>
  <c r="H15" i="11" s="1"/>
  <c r="K9" i="2"/>
  <c r="C20" i="13"/>
  <c r="H18" i="13"/>
  <c r="G23" i="11"/>
  <c r="G14" i="13"/>
  <c r="D14" i="13"/>
  <c r="D15" i="13"/>
  <c r="E21" i="11"/>
  <c r="F21" i="11" s="1"/>
  <c r="E22" i="11"/>
  <c r="F19" i="11"/>
  <c r="F22" i="11"/>
  <c r="E18" i="13"/>
  <c r="F24" i="11"/>
  <c r="E24" i="11"/>
  <c r="C31" i="1"/>
  <c r="B29" i="1"/>
  <c r="A22" i="13"/>
  <c r="D27" i="11"/>
  <c r="C25" i="11"/>
  <c r="E14" i="11" l="1"/>
  <c r="F14" i="11"/>
  <c r="C8" i="13"/>
  <c r="F8" i="13"/>
  <c r="G13" i="11" s="1"/>
  <c r="E13" i="11" s="1"/>
  <c r="F13" i="11" s="1"/>
  <c r="I15" i="11"/>
  <c r="E14" i="13"/>
  <c r="H21" i="11"/>
  <c r="F20" i="13"/>
  <c r="G25" i="11" s="1"/>
  <c r="C21" i="13"/>
  <c r="G21" i="13" s="1"/>
  <c r="F21" i="13"/>
  <c r="G26" i="11" s="1"/>
  <c r="F26" i="11" s="1"/>
  <c r="G20" i="13"/>
  <c r="D20" i="13"/>
  <c r="H14" i="13"/>
  <c r="H19" i="11" s="1"/>
  <c r="I21" i="11"/>
  <c r="B31" i="1"/>
  <c r="C33" i="1"/>
  <c r="A24" i="13"/>
  <c r="D29" i="11"/>
  <c r="C27" i="11"/>
  <c r="H13" i="11" l="1"/>
  <c r="D8" i="13"/>
  <c r="G8" i="13"/>
  <c r="D9" i="13"/>
  <c r="I13" i="11"/>
  <c r="E23" i="11"/>
  <c r="F23" i="11" s="1"/>
  <c r="H23" i="11" s="1"/>
  <c r="K17" i="2"/>
  <c r="D21" i="13"/>
  <c r="H20" i="13" s="1"/>
  <c r="C24" i="13"/>
  <c r="C22" i="13"/>
  <c r="E26" i="11"/>
  <c r="K23" i="2"/>
  <c r="K21" i="2"/>
  <c r="B33" i="1"/>
  <c r="C35" i="1"/>
  <c r="A26" i="13"/>
  <c r="C29" i="11"/>
  <c r="D31" i="11"/>
  <c r="E8" i="13" l="1"/>
  <c r="H8" i="13"/>
  <c r="E20" i="13"/>
  <c r="I23" i="11"/>
  <c r="C26" i="13"/>
  <c r="G26" i="13" s="1"/>
  <c r="C25" i="13"/>
  <c r="G25" i="13" s="1"/>
  <c r="F25" i="13"/>
  <c r="G30" i="11" s="1"/>
  <c r="E30" i="11" s="1"/>
  <c r="F22" i="13"/>
  <c r="G27" i="11" s="1"/>
  <c r="C23" i="13"/>
  <c r="G23" i="13" s="1"/>
  <c r="F23" i="13"/>
  <c r="G28" i="11" s="1"/>
  <c r="F24" i="13"/>
  <c r="G29" i="11" s="1"/>
  <c r="G22" i="13"/>
  <c r="D22" i="13"/>
  <c r="A28" i="13"/>
  <c r="B35" i="1"/>
  <c r="C37" i="1"/>
  <c r="D33" i="11"/>
  <c r="C31" i="11"/>
  <c r="K25" i="2"/>
  <c r="E25" i="11" l="1"/>
  <c r="I25" i="11" s="1"/>
  <c r="K19" i="2"/>
  <c r="F28" i="11"/>
  <c r="E27" i="11"/>
  <c r="I27" i="11" s="1"/>
  <c r="F30" i="11"/>
  <c r="E28" i="11"/>
  <c r="D23" i="13"/>
  <c r="H22" i="13" s="1"/>
  <c r="D26" i="13"/>
  <c r="F26" i="13"/>
  <c r="G31" i="11" s="1"/>
  <c r="C27" i="13"/>
  <c r="G27" i="13" s="1"/>
  <c r="F27" i="13"/>
  <c r="G32" i="11" s="1"/>
  <c r="F32" i="11" s="1"/>
  <c r="G24" i="13"/>
  <c r="D24" i="13"/>
  <c r="D25" i="13"/>
  <c r="D35" i="11"/>
  <c r="C33" i="11"/>
  <c r="C39" i="1"/>
  <c r="A30" i="13"/>
  <c r="B37" i="1"/>
  <c r="F25" i="11" l="1"/>
  <c r="H25" i="11" s="1"/>
  <c r="E24" i="13"/>
  <c r="E22" i="13"/>
  <c r="F27" i="11"/>
  <c r="H27" i="11" s="1"/>
  <c r="E32" i="11"/>
  <c r="C28" i="13"/>
  <c r="D27" i="13"/>
  <c r="H26" i="13" s="1"/>
  <c r="H24" i="13"/>
  <c r="F30" i="13"/>
  <c r="G30" i="13"/>
  <c r="D30" i="13"/>
  <c r="K27" i="2"/>
  <c r="C41" i="1"/>
  <c r="B39" i="1"/>
  <c r="A32" i="13"/>
  <c r="C35" i="11"/>
  <c r="D37" i="11"/>
  <c r="E29" i="11" l="1"/>
  <c r="F29" i="11" s="1"/>
  <c r="H29" i="11" s="1"/>
  <c r="E26" i="13"/>
  <c r="G35" i="11"/>
  <c r="F28" i="13"/>
  <c r="G33" i="11" s="1"/>
  <c r="C29" i="13"/>
  <c r="G29" i="13" s="1"/>
  <c r="F29" i="13"/>
  <c r="G34" i="11" s="1"/>
  <c r="G36" i="11"/>
  <c r="E36" i="11" s="1"/>
  <c r="D31" i="13"/>
  <c r="E30" i="13" s="1"/>
  <c r="K29" i="2" s="1"/>
  <c r="G32" i="13"/>
  <c r="F32" i="13"/>
  <c r="G28" i="13"/>
  <c r="D28" i="13"/>
  <c r="D39" i="11"/>
  <c r="C37" i="11"/>
  <c r="B41" i="1"/>
  <c r="A34" i="13"/>
  <c r="C43" i="1"/>
  <c r="I29" i="11" l="1"/>
  <c r="E31" i="11"/>
  <c r="F31" i="11" s="1"/>
  <c r="H31" i="11" s="1"/>
  <c r="G37" i="11"/>
  <c r="E33" i="11"/>
  <c r="F33" i="11" s="1"/>
  <c r="E34" i="11"/>
  <c r="F34" i="11"/>
  <c r="D29" i="13"/>
  <c r="H28" i="13" s="1"/>
  <c r="E35" i="11"/>
  <c r="F35" i="11" s="1"/>
  <c r="F36" i="11"/>
  <c r="D33" i="13"/>
  <c r="D32" i="13"/>
  <c r="H30" i="13"/>
  <c r="G38" i="11"/>
  <c r="F38" i="11" s="1"/>
  <c r="D41" i="11"/>
  <c r="C39" i="11"/>
  <c r="C45" i="1"/>
  <c r="B43" i="1"/>
  <c r="A36" i="13"/>
  <c r="I31" i="11" l="1"/>
  <c r="H35" i="11"/>
  <c r="E28" i="13"/>
  <c r="I33" i="11"/>
  <c r="H33" i="11"/>
  <c r="C35" i="13"/>
  <c r="G35" i="13" s="1"/>
  <c r="F35" i="13"/>
  <c r="G40" i="11" s="1"/>
  <c r="I35" i="11"/>
  <c r="C34" i="13"/>
  <c r="E32" i="13"/>
  <c r="H32" i="13"/>
  <c r="E38" i="11"/>
  <c r="D43" i="11"/>
  <c r="C41" i="11"/>
  <c r="C47" i="1"/>
  <c r="B45" i="1"/>
  <c r="A38" i="13"/>
  <c r="E37" i="11" l="1"/>
  <c r="F37" i="11" s="1"/>
  <c r="H37" i="11" s="1"/>
  <c r="K31" i="2"/>
  <c r="F40" i="11"/>
  <c r="E40" i="11"/>
  <c r="C36" i="13"/>
  <c r="F34" i="13"/>
  <c r="G39" i="11" s="1"/>
  <c r="K35" i="2"/>
  <c r="G34" i="13"/>
  <c r="D35" i="13"/>
  <c r="D34" i="13"/>
  <c r="C43" i="11"/>
  <c r="D45" i="11"/>
  <c r="A40" i="13"/>
  <c r="B47" i="1"/>
  <c r="C49" i="1"/>
  <c r="I37" i="11" l="1"/>
  <c r="E34" i="13"/>
  <c r="C39" i="13"/>
  <c r="G39" i="13" s="1"/>
  <c r="F39" i="13"/>
  <c r="G44" i="11" s="1"/>
  <c r="F36" i="13"/>
  <c r="G41" i="11" s="1"/>
  <c r="C37" i="13"/>
  <c r="G37" i="13" s="1"/>
  <c r="F37" i="13"/>
  <c r="G42" i="11" s="1"/>
  <c r="K37" i="2"/>
  <c r="C38" i="13"/>
  <c r="G36" i="13"/>
  <c r="D36" i="13"/>
  <c r="H34" i="13"/>
  <c r="C51" i="1"/>
  <c r="B49" i="1"/>
  <c r="A42" i="13"/>
  <c r="C45" i="11"/>
  <c r="D47" i="11"/>
  <c r="E39" i="11" l="1"/>
  <c r="I39" i="11" s="1"/>
  <c r="K33" i="2"/>
  <c r="E44" i="11"/>
  <c r="F44" i="11"/>
  <c r="E41" i="11"/>
  <c r="F41" i="11" s="1"/>
  <c r="F42" i="11"/>
  <c r="E42" i="11"/>
  <c r="D37" i="13"/>
  <c r="H36" i="13" s="1"/>
  <c r="C40" i="13"/>
  <c r="K39" i="2"/>
  <c r="F38" i="13"/>
  <c r="G43" i="11" s="1"/>
  <c r="C53" i="1"/>
  <c r="A44" i="13"/>
  <c r="B51" i="1"/>
  <c r="C47" i="11"/>
  <c r="D49" i="11"/>
  <c r="F39" i="11" l="1"/>
  <c r="H39" i="11" s="1"/>
  <c r="E36" i="13"/>
  <c r="I41" i="11"/>
  <c r="H41" i="11"/>
  <c r="C42" i="13"/>
  <c r="F40" i="13"/>
  <c r="G45" i="11" s="1"/>
  <c r="C41" i="13"/>
  <c r="G41" i="13" s="1"/>
  <c r="F41" i="13"/>
  <c r="G46" i="11" s="1"/>
  <c r="F46" i="11" s="1"/>
  <c r="F44" i="13"/>
  <c r="G44" i="13"/>
  <c r="G38" i="13"/>
  <c r="D38" i="13"/>
  <c r="D39" i="13"/>
  <c r="G40" i="13"/>
  <c r="D40" i="13"/>
  <c r="K41" i="2"/>
  <c r="C49" i="11"/>
  <c r="D51" i="11"/>
  <c r="D45" i="13"/>
  <c r="C55" i="1"/>
  <c r="B53" i="1"/>
  <c r="A46" i="13"/>
  <c r="D44" i="13"/>
  <c r="E38" i="13" l="1"/>
  <c r="E46" i="11"/>
  <c r="D41" i="13"/>
  <c r="H40" i="13" s="1"/>
  <c r="F42" i="13"/>
  <c r="G47" i="11" s="1"/>
  <c r="C43" i="13"/>
  <c r="G43" i="13" s="1"/>
  <c r="F43" i="13"/>
  <c r="G48" i="11" s="1"/>
  <c r="G49" i="11"/>
  <c r="E44" i="13"/>
  <c r="K43" i="2" s="1"/>
  <c r="H38" i="13"/>
  <c r="G46" i="13"/>
  <c r="F46" i="13"/>
  <c r="G42" i="13"/>
  <c r="D42" i="13"/>
  <c r="D47" i="13"/>
  <c r="G50" i="11"/>
  <c r="H44" i="13"/>
  <c r="B55" i="1"/>
  <c r="C57" i="1"/>
  <c r="A48" i="13"/>
  <c r="C51" i="11"/>
  <c r="D53" i="11"/>
  <c r="D46" i="13"/>
  <c r="E43" i="11" l="1"/>
  <c r="F43" i="11" s="1"/>
  <c r="H43" i="11" s="1"/>
  <c r="E40" i="13"/>
  <c r="E47" i="11"/>
  <c r="F47" i="11" s="1"/>
  <c r="G51" i="11"/>
  <c r="E48" i="11"/>
  <c r="F48" i="11"/>
  <c r="D43" i="13"/>
  <c r="H42" i="13" s="1"/>
  <c r="C48" i="13"/>
  <c r="D48" i="13" s="1"/>
  <c r="E49" i="11"/>
  <c r="I49" i="11" s="1"/>
  <c r="H46" i="13"/>
  <c r="E46" i="13"/>
  <c r="F50" i="11"/>
  <c r="E50" i="11"/>
  <c r="G52" i="11"/>
  <c r="C59" i="1"/>
  <c r="B57" i="1"/>
  <c r="A50" i="13"/>
  <c r="D55" i="11"/>
  <c r="C53" i="11"/>
  <c r="K45" i="2" l="1"/>
  <c r="E51" i="11"/>
  <c r="F51" i="11" s="1"/>
  <c r="E45" i="11"/>
  <c r="F45" i="11" s="1"/>
  <c r="H45" i="11" s="1"/>
  <c r="I43" i="11"/>
  <c r="E42" i="13"/>
  <c r="H47" i="11"/>
  <c r="I47" i="11"/>
  <c r="C50" i="13"/>
  <c r="D50" i="13" s="1"/>
  <c r="G48" i="13"/>
  <c r="F48" i="13"/>
  <c r="G53" i="11" s="1"/>
  <c r="C49" i="13"/>
  <c r="G49" i="13" s="1"/>
  <c r="F49" i="13"/>
  <c r="G54" i="11" s="1"/>
  <c r="F54" i="11" s="1"/>
  <c r="F49" i="11"/>
  <c r="H49" i="11" s="1"/>
  <c r="C61" i="1"/>
  <c r="B59" i="1"/>
  <c r="A52" i="13"/>
  <c r="D57" i="11"/>
  <c r="C55" i="11"/>
  <c r="K49" i="2"/>
  <c r="F52" i="11"/>
  <c r="E52" i="11"/>
  <c r="I45" i="11" l="1"/>
  <c r="E54" i="11"/>
  <c r="C51" i="13"/>
  <c r="G51" i="13" s="1"/>
  <c r="F51" i="13"/>
  <c r="G56" i="11" s="1"/>
  <c r="E56" i="11" s="1"/>
  <c r="G50" i="13"/>
  <c r="F50" i="13"/>
  <c r="G55" i="11" s="1"/>
  <c r="D49" i="13"/>
  <c r="I51" i="11"/>
  <c r="D59" i="11"/>
  <c r="C57" i="11"/>
  <c r="B61" i="1"/>
  <c r="A54" i="13"/>
  <c r="C63" i="1"/>
  <c r="H51" i="11"/>
  <c r="D51" i="13" l="1"/>
  <c r="H50" i="13" s="1"/>
  <c r="H48" i="13"/>
  <c r="E48" i="13"/>
  <c r="E55" i="11"/>
  <c r="F55" i="11" s="1"/>
  <c r="C52" i="13"/>
  <c r="F56" i="11"/>
  <c r="K51" i="2"/>
  <c r="A56" i="13"/>
  <c r="B63" i="1"/>
  <c r="C65" i="1"/>
  <c r="D61" i="11"/>
  <c r="C59" i="11"/>
  <c r="E50" i="13" l="1"/>
  <c r="E53" i="11"/>
  <c r="F53" i="11" s="1"/>
  <c r="H53" i="11" s="1"/>
  <c r="K47" i="2"/>
  <c r="H55" i="11"/>
  <c r="I55" i="11"/>
  <c r="C56" i="13"/>
  <c r="C54" i="13"/>
  <c r="F52" i="13"/>
  <c r="G57" i="11" s="1"/>
  <c r="C53" i="13"/>
  <c r="G53" i="13" s="1"/>
  <c r="F53" i="13"/>
  <c r="G58" i="11" s="1"/>
  <c r="K55" i="2"/>
  <c r="G52" i="13"/>
  <c r="D52" i="13"/>
  <c r="K53" i="2"/>
  <c r="A58" i="13"/>
  <c r="C67" i="1"/>
  <c r="B65" i="1"/>
  <c r="C61" i="11"/>
  <c r="D63" i="11"/>
  <c r="I53" i="11" l="1"/>
  <c r="D53" i="13"/>
  <c r="H52" i="13" s="1"/>
  <c r="F58" i="11"/>
  <c r="E58" i="11"/>
  <c r="C57" i="13"/>
  <c r="G57" i="13" s="1"/>
  <c r="F57" i="13"/>
  <c r="G62" i="11" s="1"/>
  <c r="C55" i="13"/>
  <c r="G55" i="13" s="1"/>
  <c r="F55" i="13"/>
  <c r="G60" i="11" s="1"/>
  <c r="F54" i="13"/>
  <c r="G59" i="11" s="1"/>
  <c r="F56" i="13"/>
  <c r="G61" i="11" s="1"/>
  <c r="C63" i="11"/>
  <c r="D65" i="11"/>
  <c r="B67" i="1"/>
  <c r="A60" i="13"/>
  <c r="C69" i="1"/>
  <c r="E52" i="13" l="1"/>
  <c r="E62" i="11"/>
  <c r="F62" i="11"/>
  <c r="F60" i="11"/>
  <c r="E60" i="11"/>
  <c r="E61" i="11"/>
  <c r="I61" i="11" s="1"/>
  <c r="G54" i="13"/>
  <c r="D54" i="13"/>
  <c r="D55" i="13"/>
  <c r="F58" i="13"/>
  <c r="G63" i="11" s="1"/>
  <c r="G56" i="13"/>
  <c r="D56" i="13"/>
  <c r="D57" i="13"/>
  <c r="A62" i="13"/>
  <c r="B69" i="1"/>
  <c r="C71" i="1"/>
  <c r="B71" i="1" s="1"/>
  <c r="D67" i="11"/>
  <c r="C65" i="11"/>
  <c r="G66" i="11" s="1"/>
  <c r="G64" i="11"/>
  <c r="E57" i="11" l="1"/>
  <c r="F57" i="11" s="1"/>
  <c r="H57" i="11" s="1"/>
  <c r="E54" i="13"/>
  <c r="E56" i="13"/>
  <c r="F61" i="11"/>
  <c r="H61" i="11" s="1"/>
  <c r="F60" i="13"/>
  <c r="G65" i="11" s="1"/>
  <c r="H56" i="13"/>
  <c r="G58" i="13"/>
  <c r="D59" i="13"/>
  <c r="D58" i="13"/>
  <c r="H54" i="13"/>
  <c r="F66" i="11"/>
  <c r="E66" i="11"/>
  <c r="F64" i="11"/>
  <c r="E64" i="11"/>
  <c r="D69" i="11"/>
  <c r="C67" i="11"/>
  <c r="A64" i="13"/>
  <c r="D65" i="13"/>
  <c r="K63" i="2"/>
  <c r="D64" i="13"/>
  <c r="E59" i="11" l="1"/>
  <c r="F59" i="11" s="1"/>
  <c r="H59" i="11" s="1"/>
  <c r="I57" i="11"/>
  <c r="E64" i="13"/>
  <c r="C62" i="13"/>
  <c r="H58" i="13"/>
  <c r="E58" i="13"/>
  <c r="G60" i="13"/>
  <c r="D60" i="13"/>
  <c r="D61" i="13"/>
  <c r="H64" i="13"/>
  <c r="C69" i="11"/>
  <c r="G69" i="11" s="1"/>
  <c r="I59" i="11" l="1"/>
  <c r="E63" i="11"/>
  <c r="F63" i="11" s="1"/>
  <c r="H63" i="11" s="1"/>
  <c r="K57" i="2"/>
  <c r="C63" i="13"/>
  <c r="G63" i="13" s="1"/>
  <c r="F63" i="13"/>
  <c r="G68" i="11" s="1"/>
  <c r="E68" i="11" s="1"/>
  <c r="F62" i="13"/>
  <c r="G67" i="11" s="1"/>
  <c r="E60" i="13"/>
  <c r="G62" i="13"/>
  <c r="D62" i="13"/>
  <c r="H60" i="13"/>
  <c r="G70" i="11"/>
  <c r="E69" i="11" s="1"/>
  <c r="E65" i="11" l="1"/>
  <c r="F65" i="11" s="1"/>
  <c r="H65" i="11" s="1"/>
  <c r="I63" i="11"/>
  <c r="D63" i="13"/>
  <c r="H62" i="13" s="1"/>
  <c r="F68" i="11"/>
  <c r="F69" i="11"/>
  <c r="I69" i="11"/>
  <c r="F70" i="11"/>
  <c r="E70" i="11"/>
  <c r="K59" i="2" l="1"/>
  <c r="E62" i="13"/>
  <c r="I65" i="11"/>
  <c r="H69" i="11"/>
  <c r="E67" i="11" l="1"/>
  <c r="I67" i="11" s="1"/>
  <c r="K61" i="2"/>
  <c r="B4" i="13"/>
  <c r="F67" i="11" l="1"/>
  <c r="H67" i="11" s="1"/>
  <c r="F19" i="2"/>
  <c r="U72" i="1" s="1"/>
  <c r="C4" i="13"/>
  <c r="F4" i="13"/>
  <c r="G9" i="11" s="1"/>
  <c r="D4" i="13" l="1"/>
  <c r="G4" i="13"/>
  <c r="B12" i="13" l="1"/>
  <c r="F12" i="13" s="1"/>
  <c r="G17" i="11" s="1"/>
  <c r="C12" i="13" l="1"/>
  <c r="G12" i="13" l="1"/>
  <c r="D12" i="13"/>
  <c r="D13" i="13"/>
  <c r="E12" i="13" l="1"/>
  <c r="H12" i="13"/>
  <c r="E17" i="11" l="1"/>
  <c r="I17" i="11" l="1"/>
  <c r="F17" i="11"/>
  <c r="H17" i="11" s="1"/>
  <c r="B5" i="13"/>
  <c r="F5" i="13" s="1"/>
  <c r="G10" i="11" s="1"/>
  <c r="F10" i="11" s="1"/>
  <c r="C5" i="13" l="1"/>
  <c r="E10" i="11"/>
  <c r="G5" i="13" l="1"/>
  <c r="D5" i="13"/>
  <c r="H4" i="13" l="1"/>
  <c r="E4" i="13"/>
  <c r="K3" i="2" l="1"/>
  <c r="F77" i="1" s="1"/>
  <c r="E77" i="1" s="1"/>
  <c r="C5" i="3"/>
  <c r="B5" i="3" s="1"/>
  <c r="F5" i="3" s="1"/>
  <c r="G5" i="3" s="1"/>
  <c r="E9" i="11" l="1"/>
  <c r="I9" i="11" s="1"/>
  <c r="D5" i="3"/>
  <c r="E5" i="3" s="1"/>
  <c r="G77" i="1"/>
  <c r="H77" i="1" s="1"/>
  <c r="F9" i="11" l="1"/>
  <c r="H9" i="11" s="1"/>
  <c r="G75" i="11" s="1"/>
  <c r="I75" i="11"/>
  <c r="K75" i="11"/>
  <c r="E75" i="11" l="1"/>
</calcChain>
</file>

<file path=xl/sharedStrings.xml><?xml version="1.0" encoding="utf-8"?>
<sst xmlns="http://schemas.openxmlformats.org/spreadsheetml/2006/main" count="610" uniqueCount="225">
  <si>
    <t>Client Name</t>
  </si>
  <si>
    <t>Consultant Name</t>
  </si>
  <si>
    <t>Consultant Role</t>
  </si>
  <si>
    <t>Timesheet Period</t>
  </si>
  <si>
    <t>Day</t>
  </si>
  <si>
    <t>Date</t>
  </si>
  <si>
    <t>Start Time
[timestamp]</t>
  </si>
  <si>
    <t>End Time
[timestamp]</t>
  </si>
  <si>
    <t>Sick
[# of hours]</t>
  </si>
  <si>
    <t>Leave
[# of hours]</t>
  </si>
  <si>
    <t>Activity</t>
  </si>
  <si>
    <t>Signature</t>
  </si>
  <si>
    <t>SUMMARY</t>
  </si>
  <si>
    <t>Working Hour
[# of hours]</t>
  </si>
  <si>
    <t>Overtime Weekend / Public Holiday 
[# of hours]</t>
  </si>
  <si>
    <t>Remark</t>
  </si>
  <si>
    <t>AEON</t>
  </si>
  <si>
    <t>ANZ Bank</t>
  </si>
  <si>
    <t>Bank Mandiri</t>
  </si>
  <si>
    <t>Boehringer Ingelheim</t>
  </si>
  <si>
    <t>Danone</t>
  </si>
  <si>
    <t>Lintasarta</t>
  </si>
  <si>
    <t>Rabobank</t>
  </si>
  <si>
    <t>Standard Chartered Bank</t>
  </si>
  <si>
    <t>Bank Danamon Indonesia</t>
  </si>
  <si>
    <t>Coca Cola Amatil Indonesia</t>
  </si>
  <si>
    <t>FIF</t>
  </si>
  <si>
    <t>HM Sampoerna</t>
  </si>
  <si>
    <t>Indika</t>
  </si>
  <si>
    <t>CIFOR</t>
  </si>
  <si>
    <t>Honeywell</t>
  </si>
  <si>
    <t>Rekso International Food (McD)</t>
  </si>
  <si>
    <t>AXA</t>
  </si>
  <si>
    <t>Adira Finance</t>
  </si>
  <si>
    <t>AIA</t>
  </si>
  <si>
    <t>Bank Mayora</t>
  </si>
  <si>
    <t>Bank Permata</t>
  </si>
  <si>
    <t>BCA</t>
  </si>
  <si>
    <t>BTPN Syariah</t>
  </si>
  <si>
    <t>IIF</t>
  </si>
  <si>
    <t>Prudential</t>
  </si>
  <si>
    <t>Seatech</t>
  </si>
  <si>
    <t>Zurich Insurance</t>
  </si>
  <si>
    <t>Planning</t>
  </si>
  <si>
    <t>Analyzing</t>
  </si>
  <si>
    <t>Design</t>
  </si>
  <si>
    <t>Coding / Programming</t>
  </si>
  <si>
    <t>Testing / QA</t>
  </si>
  <si>
    <t>Support</t>
  </si>
  <si>
    <t>Leave</t>
  </si>
  <si>
    <t>Sick</t>
  </si>
  <si>
    <t>Activity - Weekend</t>
  </si>
  <si>
    <t>Activity - Weekday</t>
  </si>
  <si>
    <t>Total Office 
[Hours]</t>
  </si>
  <si>
    <t>Total Office 
[Days]</t>
  </si>
  <si>
    <t>Total Working 
[Hours]</t>
  </si>
  <si>
    <t>Total Working 
[Days]</t>
  </si>
  <si>
    <t>Overtime Weekday 
[Hours]</t>
  </si>
  <si>
    <t>Overtime Weekday 
[Days]</t>
  </si>
  <si>
    <t>Overtime Weekend / Public Holiday 
[Hours]</t>
  </si>
  <si>
    <t>Overtime 
Weekend / Public Holiday 
[Days]</t>
  </si>
  <si>
    <t>Sick 
[Hours]</t>
  </si>
  <si>
    <t>Sick 
[Days]</t>
  </si>
  <si>
    <t>Leave 
[Days]</t>
  </si>
  <si>
    <t>Leave 
[Hours]</t>
  </si>
  <si>
    <t>Work Shifting</t>
  </si>
  <si>
    <t>Shift</t>
  </si>
  <si>
    <t>Shifting</t>
  </si>
  <si>
    <t>Yes</t>
  </si>
  <si>
    <t>No</t>
  </si>
  <si>
    <t>Morning</t>
  </si>
  <si>
    <t>Afternoon</t>
  </si>
  <si>
    <t>Night</t>
  </si>
  <si>
    <t>Total 
Morning Shift 
[Days]</t>
  </si>
  <si>
    <t>Total 
Afternoon Shift 
[Days]</t>
  </si>
  <si>
    <t>Total 
Night Shift 
[Days]</t>
  </si>
  <si>
    <t>Total Overtime [Hours]</t>
  </si>
  <si>
    <t>Total Overtime [Days]</t>
  </si>
  <si>
    <t>Bank Commonwealth</t>
  </si>
  <si>
    <t>Bank OCBC NISP</t>
  </si>
  <si>
    <t>Bank Panin</t>
  </si>
  <si>
    <t>Bank UOB</t>
  </si>
  <si>
    <t>BNI</t>
  </si>
  <si>
    <t>BTPN</t>
  </si>
  <si>
    <t>Cap Gemini</t>
  </si>
  <si>
    <t>DBS</t>
  </si>
  <si>
    <t>Public Holiday</t>
  </si>
  <si>
    <t>Training</t>
  </si>
  <si>
    <t>Internal Activity</t>
  </si>
  <si>
    <t>No.</t>
  </si>
  <si>
    <t>Column Name</t>
  </si>
  <si>
    <t>Details</t>
  </si>
  <si>
    <t>Remarks</t>
  </si>
  <si>
    <t>Employee</t>
  </si>
  <si>
    <r>
      <rPr>
        <sz val="11"/>
        <rFont val="Calibri"/>
        <family val="2"/>
      </rPr>
      <t>ADIRA Finance</t>
    </r>
    <r>
      <rPr>
        <sz val="11"/>
        <rFont val="Calibri"/>
        <family val="2"/>
        <scheme val="minor"/>
      </rPr>
      <t xml:space="preserve">
AEON
</t>
    </r>
    <r>
      <rPr>
        <sz val="11"/>
        <rFont val="Calibri"/>
        <family val="2"/>
      </rPr>
      <t>AIA</t>
    </r>
    <r>
      <rPr>
        <sz val="11"/>
        <rFont val="Calibri"/>
        <family val="2"/>
        <scheme val="minor"/>
      </rPr>
      <t xml:space="preserve">
ANZ Bank
AXA
Bank Commonwealth
</t>
    </r>
    <r>
      <rPr>
        <sz val="11"/>
        <rFont val="Calibri"/>
        <family val="2"/>
      </rPr>
      <t>Bank Danamon Indonesia</t>
    </r>
    <r>
      <rPr>
        <sz val="11"/>
        <rFont val="Calibri"/>
        <family val="2"/>
        <scheme val="minor"/>
      </rPr>
      <t xml:space="preserve">
etc…</t>
    </r>
  </si>
  <si>
    <t>Please choose on the drop down</t>
  </si>
  <si>
    <t>Please filled your Full Name</t>
  </si>
  <si>
    <t>Please filled your Role/Designation</t>
  </si>
  <si>
    <t>Yes
No</t>
  </si>
  <si>
    <t>Automatic</t>
  </si>
  <si>
    <t>Febuary 2016</t>
  </si>
  <si>
    <t>Locked, PMO will update this timesheet monthly</t>
  </si>
  <si>
    <t>Name of Day</t>
  </si>
  <si>
    <t>Date; dd-mmm-yy</t>
  </si>
  <si>
    <t>Start Time</t>
  </si>
  <si>
    <t>Start time coming to the office</t>
  </si>
  <si>
    <t>First row for normal shifting. Second row if you have double shifting in one day (remote/oncall)</t>
  </si>
  <si>
    <t>End Time</t>
  </si>
  <si>
    <t>When you have finished work and leave the office</t>
  </si>
  <si>
    <t>Total working hour in one day, exclude lunch time</t>
  </si>
  <si>
    <t>When you do work on Weekend / Public Holiday, it will be counted and showed</t>
  </si>
  <si>
    <r>
      <rPr>
        <sz val="11"/>
        <rFont val="Calibri"/>
        <family val="2"/>
      </rPr>
      <t>Morning</t>
    </r>
    <r>
      <rPr>
        <sz val="11"/>
        <rFont val="Calibri"/>
        <family val="2"/>
        <scheme val="minor"/>
      </rPr>
      <t xml:space="preserve">
Afternoon
</t>
    </r>
    <r>
      <rPr>
        <sz val="11"/>
        <rFont val="Calibri"/>
        <family val="2"/>
      </rPr>
      <t>Night</t>
    </r>
  </si>
  <si>
    <r>
      <rPr>
        <sz val="11"/>
        <rFont val="Calibri"/>
        <family val="2"/>
      </rPr>
      <t>Planning</t>
    </r>
    <r>
      <rPr>
        <sz val="11"/>
        <rFont val="Calibri"/>
        <family val="2"/>
        <scheme val="minor"/>
      </rPr>
      <t xml:space="preserve">
Analyzing
</t>
    </r>
    <r>
      <rPr>
        <sz val="11"/>
        <rFont val="Calibri"/>
        <family val="2"/>
      </rPr>
      <t>Design</t>
    </r>
    <r>
      <rPr>
        <sz val="11"/>
        <rFont val="Calibri"/>
        <family val="2"/>
        <scheme val="minor"/>
      </rPr>
      <t xml:space="preserve">
Coding / Programming
Testing / QA
Support
Sick
Leave</t>
    </r>
  </si>
  <si>
    <t>Please filled if needed</t>
  </si>
  <si>
    <t>Locked, Leave it blank</t>
  </si>
  <si>
    <t>Name of employee</t>
  </si>
  <si>
    <t>Signature of employee</t>
  </si>
  <si>
    <t>Mandatory</t>
  </si>
  <si>
    <t>Signature of the reviewer</t>
  </si>
  <si>
    <t>Signature of the approver</t>
  </si>
  <si>
    <t>Example: 
TPM / PM / Business Analyst / System Analyst / Developer / QA / Tester</t>
  </si>
  <si>
    <t>Please choose 'Yes' if you are on work shifting and 'No' if you are on normal shifting</t>
  </si>
  <si>
    <t xml:space="preserve">Please choose on the drop down if you are on work shifting </t>
  </si>
  <si>
    <t>When you do choose 'Sick' on Activity column, it will be counted and showed the # of hours)</t>
  </si>
  <si>
    <t>When you do choose 'Leave' on the activity column, it will be counted and showed the # of hours)</t>
  </si>
  <si>
    <t>Name of the person who review the timesheet</t>
  </si>
  <si>
    <t>Name of the person who approve the timesheet, usually the Project Manager</t>
  </si>
  <si>
    <t>Great Eastern Life Indonesia</t>
  </si>
  <si>
    <t>shifting</t>
  </si>
  <si>
    <t>Coding/Programming</t>
  </si>
  <si>
    <t>Testing/QA</t>
  </si>
  <si>
    <t>Total Office Days</t>
  </si>
  <si>
    <t>Filled by</t>
  </si>
  <si>
    <t>Please choose on the drop down, include lunch time</t>
  </si>
  <si>
    <t>2. Please use Microsoft Excel 2007 / 2010 version.</t>
  </si>
  <si>
    <t>Alfa Online</t>
  </si>
  <si>
    <t>Bank MNC</t>
  </si>
  <si>
    <t>Bumitama Gunajaya Agro</t>
  </si>
  <si>
    <t>Reviewer Name</t>
  </si>
  <si>
    <t>Approver Name</t>
  </si>
  <si>
    <t>1. Choose "Option"</t>
  </si>
  <si>
    <t>2. Choose "Enable this content"</t>
  </si>
  <si>
    <t>3. Klik "OK"</t>
  </si>
  <si>
    <t>Optional</t>
  </si>
  <si>
    <t>Sarana Multi Infrastruktur</t>
  </si>
  <si>
    <t>NTT</t>
  </si>
  <si>
    <t>Overtime Weekday
[# of hours]</t>
  </si>
  <si>
    <t>Total Overtime Weekday 
[Hour]</t>
  </si>
  <si>
    <t>Total Overtime Weekday 
[Days]</t>
  </si>
  <si>
    <t>Total Overtime Weekend / Public Holiday [Hours]</t>
  </si>
  <si>
    <t>Total Overtime Weekend / Public Holiday 
[Days]</t>
  </si>
  <si>
    <t>Status OT</t>
  </si>
  <si>
    <t>Total1</t>
  </si>
  <si>
    <t>Total2</t>
  </si>
  <si>
    <t>Status
Overtime</t>
  </si>
  <si>
    <t>3. Please do not copy-paste from one column/cell to the others, especially on column 'Start Time' and 'End Time'.</t>
  </si>
  <si>
    <t>4. There are 2 sheets : Timesheet-Regular and OT Form</t>
  </si>
  <si>
    <t>5. Overtime will be calculated automatically if you were already working over than 9 hours or during public holidays/weekend</t>
  </si>
  <si>
    <t>A. Timesheet - Regular</t>
  </si>
  <si>
    <t>B.  OT Form</t>
  </si>
  <si>
    <t>1. Employee should choose in the coloumn "Status Overtime" and "Remark"</t>
  </si>
  <si>
    <t>2. Please choose "Yes" in status overtime (sheet Timesheet-Overtime), if you think they are overtime.</t>
  </si>
  <si>
    <t>3. Please choose "No" in status overtime (sheet Timesheet-Overtime), if you do not think they are overtime</t>
  </si>
  <si>
    <t>1. Employee should fill in the 'Timesheet' with light grey highlight and column 'Start Time', 'End Time', 'Shift', 'Activity', and 'Remark'.</t>
  </si>
  <si>
    <t>2. If you take Sick or Leave in a day, you still need to fill column ‘Start Time’ and ‘End Time’. For normal working hour is from 08:00 to 17:00 (equal 8 hours), depends on working hour in client site</t>
  </si>
  <si>
    <t>3. If you take Sick, you have to attach Medical Certificate along with the timesheet form.</t>
  </si>
  <si>
    <t>4. If you take Leave, you have to attach Leave Form that signed off by User along with the timesheet form.</t>
  </si>
  <si>
    <t>C. Timesheet - Regular (Field Details)</t>
  </si>
  <si>
    <t>D. OT Form (Field Details)</t>
  </si>
  <si>
    <t>Status Overtime</t>
  </si>
  <si>
    <t>Overtime Weekday</t>
  </si>
  <si>
    <t>Overtime Public Holiday/Weekend</t>
  </si>
  <si>
    <t>Will generate autamatically from Timesheet - Regular</t>
  </si>
  <si>
    <t>Field Status</t>
  </si>
  <si>
    <t>BCA Life</t>
  </si>
  <si>
    <t>Citi Bank</t>
  </si>
  <si>
    <t>Home Credit</t>
  </si>
  <si>
    <t>Red Hat</t>
  </si>
  <si>
    <t>Tidak ada OT Weekend</t>
  </si>
  <si>
    <t>Tidak ada OT Weekday</t>
  </si>
  <si>
    <t>Employment Status</t>
  </si>
  <si>
    <t>Existing</t>
  </si>
  <si>
    <t>New</t>
  </si>
  <si>
    <t>Resigned</t>
  </si>
  <si>
    <t>Total Office Day</t>
  </si>
  <si>
    <t>Monthly</t>
  </si>
  <si>
    <t xml:space="preserve">                                       Existing
                                           New
                                        Resigned</t>
  </si>
  <si>
    <t>Existing : If you are existing Employee in PT Emerio Indonesia
New : If you are already join in PT Emerio Indonesia
Resigned : If you will resign and should submit latest timesheet</t>
  </si>
  <si>
    <t>Bukit Makmur Mandiri Utama</t>
  </si>
  <si>
    <t>Others</t>
  </si>
  <si>
    <t>My Bizz - CIMB</t>
  </si>
  <si>
    <t>Bussan Auto Finance</t>
  </si>
  <si>
    <t>Total Bangun Persada</t>
  </si>
  <si>
    <t>Nutrifood</t>
  </si>
  <si>
    <t>Cinema 21</t>
  </si>
  <si>
    <t>Trimegah Sekuritas</t>
  </si>
  <si>
    <t>TTNI</t>
  </si>
  <si>
    <t>Internal</t>
  </si>
  <si>
    <t>Metraplasa</t>
  </si>
  <si>
    <t>PT. PM Sampoerna ISC</t>
  </si>
  <si>
    <t>Indy Digital Investama</t>
  </si>
  <si>
    <t>Dimension Data Indonesia</t>
  </si>
  <si>
    <t>MUFG Bank</t>
  </si>
  <si>
    <t>Maybank</t>
  </si>
  <si>
    <t>Permodalan Nasional Madani</t>
  </si>
  <si>
    <t>Kawan Lama Sejahtera</t>
  </si>
  <si>
    <t/>
  </si>
  <si>
    <t>Avirst Assurance</t>
  </si>
  <si>
    <t>PT. Monica Hijau Lestari</t>
  </si>
  <si>
    <t>Universitas Kristen Indonesia (UKI)</t>
  </si>
  <si>
    <t>Indosat</t>
  </si>
  <si>
    <t>Universitas Pelita Harapan (UPH)</t>
  </si>
  <si>
    <t>BINUS University</t>
  </si>
  <si>
    <t>Bank Jago</t>
  </si>
  <si>
    <t>Bank QNB</t>
  </si>
  <si>
    <t>PT. Vale</t>
  </si>
  <si>
    <t>PT. Astra Digital Arta(Astrapay)</t>
  </si>
  <si>
    <t>LPEI (Indonesia Eximbank)</t>
  </si>
  <si>
    <t>PT Mitra Utama Madani (MUM)</t>
  </si>
  <si>
    <t>Bank CIMB</t>
  </si>
  <si>
    <t>Workday ID</t>
  </si>
  <si>
    <t>USER GUIDE for TE TIMESHEET</t>
  </si>
  <si>
    <t>1. This timesheet is for TE Consultant who assigned to project and will be updated monthly by TE Opertaions.</t>
  </si>
  <si>
    <t>6. Should you have any queries, please feel free to ask TE Ops (Fairuza.Hidayat@global.ntt/Nurlaila.Septiorini@global.ntt)</t>
  </si>
  <si>
    <t>IFG Life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</si>
</sst>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\-yy;@"/>
    <numFmt numFmtId="165" formatCode="h:mm;@"/>
    <numFmt numFmtId="166" formatCode="[$-F400]h:mm:ss\ AM/PM"/>
    <numFmt numFmtId="167" formatCode="[$-409]mmm\-yy;@"/>
  </numFmts>
  <fonts count="21" x14ac:knownFonts="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43">
    <xf numFmtId="0" fontId="0" fillId="0" borderId="0" xfId="0"/>
    <xf numFmtId="0" fontId="2" fillId="0" borderId="2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 vertical="center" wrapText="1"/>
    </xf>
    <xf numFmtId="0" fontId="1" fillId="0" borderId="0" xfId="0" applyFont="1"/>
    <xf numFmtId="17" fontId="1" fillId="0" borderId="0" xfId="0" applyNumberFormat="1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/>
    <xf numFmtId="0" fontId="1" fillId="0" borderId="0" xfId="0" applyFont="1" applyAlignment="1">
      <alignment horizontal="left"/>
    </xf>
    <xf numFmtId="15" fontId="1" fillId="0" borderId="2" xfId="0" applyNumberFormat="1" applyFont="1" applyBorder="1" applyAlignment="1">
      <alignment horizontal="left"/>
    </xf>
    <xf numFmtId="0" fontId="0" fillId="0" borderId="0" xfId="0" applyProtection="1">
      <protection hidden="1"/>
    </xf>
    <xf numFmtId="165" fontId="0" fillId="0" borderId="0" xfId="0" applyNumberFormat="1" applyProtection="1">
      <protection hidden="1"/>
    </xf>
    <xf numFmtId="0" fontId="1" fillId="0" borderId="0" xfId="0" applyFont="1" applyAlignment="1" applyProtection="1">
      <alignment horizontal="center" vertical="center"/>
      <protection hidden="1"/>
    </xf>
    <xf numFmtId="166" fontId="0" fillId="0" borderId="0" xfId="0" applyNumberFormat="1" applyProtection="1"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Fill="1" applyProtection="1">
      <protection hidden="1"/>
    </xf>
    <xf numFmtId="0" fontId="3" fillId="0" borderId="0" xfId="0" applyFont="1" applyFill="1" applyProtection="1">
      <protection hidden="1"/>
    </xf>
    <xf numFmtId="3" fontId="3" fillId="0" borderId="0" xfId="0" applyNumberFormat="1" applyFont="1" applyFill="1" applyProtection="1">
      <protection hidden="1"/>
    </xf>
    <xf numFmtId="0" fontId="0" fillId="0" borderId="0" xfId="0" applyFill="1" applyProtection="1">
      <protection hidden="1"/>
    </xf>
    <xf numFmtId="2" fontId="3" fillId="0" borderId="0" xfId="0" applyNumberFormat="1" applyFont="1" applyBorder="1" applyAlignment="1" applyProtection="1">
      <alignment horizontal="center" vertical="center"/>
      <protection hidden="1"/>
    </xf>
    <xf numFmtId="0" fontId="6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Protection="1">
      <protection hidden="1"/>
    </xf>
    <xf numFmtId="166" fontId="1" fillId="0" borderId="0" xfId="0" applyNumberFormat="1" applyFont="1"/>
    <xf numFmtId="18" fontId="1" fillId="0" borderId="0" xfId="0" applyNumberFormat="1" applyFont="1"/>
    <xf numFmtId="0" fontId="1" fillId="0" borderId="0" xfId="0" applyFont="1" applyFill="1" applyBorder="1"/>
    <xf numFmtId="165" fontId="3" fillId="0" borderId="0" xfId="0" applyNumberFormat="1" applyFont="1" applyFill="1" applyProtection="1">
      <protection hidden="1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9" fillId="0" borderId="0" xfId="0" applyFont="1" applyFill="1" applyBorder="1" applyAlignment="1" applyProtection="1"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0" xfId="0" applyFont="1" applyBorder="1" applyProtection="1">
      <protection hidden="1"/>
    </xf>
    <xf numFmtId="0" fontId="0" fillId="0" borderId="0" xfId="0" applyFont="1" applyBorder="1" applyAlignment="1" applyProtection="1">
      <alignment horizontal="center" vertical="center"/>
      <protection hidden="1"/>
    </xf>
    <xf numFmtId="0" fontId="0" fillId="0" borderId="2" xfId="0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2" xfId="0" applyFont="1" applyBorder="1" applyAlignment="1" applyProtection="1">
      <alignment vertical="center"/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8" fillId="0" borderId="0" xfId="0" applyFont="1"/>
    <xf numFmtId="0" fontId="9" fillId="0" borderId="0" xfId="0" applyFont="1" applyFill="1" applyBorder="1" applyAlignment="1" applyProtection="1"/>
    <xf numFmtId="0" fontId="0" fillId="0" borderId="0" xfId="0" applyBorder="1" applyAlignment="1" applyProtection="1">
      <alignment vertical="center"/>
    </xf>
    <xf numFmtId="0" fontId="8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center" vertical="center"/>
    </xf>
    <xf numFmtId="0" fontId="0" fillId="0" borderId="2" xfId="0" applyFont="1" applyBorder="1" applyAlignment="1" applyProtection="1">
      <alignment horizontal="left" vertical="center"/>
    </xf>
    <xf numFmtId="49" fontId="10" fillId="0" borderId="2" xfId="0" applyNumberFormat="1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vertical="center"/>
    </xf>
    <xf numFmtId="0" fontId="0" fillId="0" borderId="2" xfId="0" applyBorder="1" applyAlignment="1" applyProtection="1">
      <alignment horizontal="left" vertical="center"/>
    </xf>
    <xf numFmtId="0" fontId="0" fillId="0" borderId="2" xfId="0" applyBorder="1" applyAlignment="1" applyProtection="1">
      <alignment vertical="center" wrapText="1"/>
    </xf>
    <xf numFmtId="49" fontId="0" fillId="0" borderId="2" xfId="0" applyNumberForma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49" fontId="10" fillId="0" borderId="2" xfId="0" applyNumberFormat="1" applyFont="1" applyFill="1" applyBorder="1" applyAlignment="1" applyProtection="1">
      <alignment horizontal="left" vertical="center" wrapText="1"/>
    </xf>
    <xf numFmtId="0" fontId="0" fillId="0" borderId="2" xfId="0" applyBorder="1" applyAlignment="1" applyProtection="1">
      <alignment horizontal="left" vertical="center" wrapText="1"/>
    </xf>
    <xf numFmtId="165" fontId="0" fillId="0" borderId="0" xfId="0" applyNumberFormat="1" applyBorder="1" applyProtection="1">
      <protection hidden="1"/>
    </xf>
    <xf numFmtId="165" fontId="5" fillId="0" borderId="0" xfId="0" applyNumberFormat="1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/>
      <protection hidden="1"/>
    </xf>
    <xf numFmtId="165" fontId="5" fillId="0" borderId="0" xfId="0" applyNumberFormat="1" applyFont="1" applyBorder="1" applyAlignment="1" applyProtection="1">
      <alignment horizontal="center" vertical="center"/>
      <protection hidden="1"/>
    </xf>
    <xf numFmtId="164" fontId="14" fillId="0" borderId="2" xfId="0" applyNumberFormat="1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165" fontId="0" fillId="0" borderId="0" xfId="0" applyNumberFormat="1" applyFill="1" applyProtection="1">
      <protection hidden="1"/>
    </xf>
    <xf numFmtId="0" fontId="15" fillId="0" borderId="0" xfId="0" applyFont="1" applyProtection="1">
      <protection hidden="1"/>
    </xf>
    <xf numFmtId="0" fontId="15" fillId="0" borderId="0" xfId="0" applyFont="1" applyFill="1" applyProtection="1">
      <protection hidden="1"/>
    </xf>
    <xf numFmtId="0" fontId="0" fillId="0" borderId="0" xfId="0" applyFill="1"/>
    <xf numFmtId="165" fontId="15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0" fontId="16" fillId="0" borderId="0" xfId="0" applyFont="1" applyFill="1" applyProtection="1"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7" fillId="0" borderId="0" xfId="0" applyFont="1" applyProtection="1">
      <protection hidden="1"/>
    </xf>
    <xf numFmtId="165" fontId="15" fillId="5" borderId="0" xfId="0" applyNumberFormat="1" applyFont="1" applyFill="1" applyProtection="1">
      <protection hidden="1"/>
    </xf>
    <xf numFmtId="0" fontId="15" fillId="5" borderId="0" xfId="0" applyNumberFormat="1" applyFont="1" applyFill="1" applyAlignment="1" applyProtection="1">
      <protection hidden="1"/>
    </xf>
    <xf numFmtId="0" fontId="15" fillId="5" borderId="0" xfId="0" applyFont="1" applyFill="1" applyProtection="1">
      <protection hidden="1"/>
    </xf>
    <xf numFmtId="0" fontId="0" fillId="0" borderId="0" xfId="0" applyNumberFormat="1" applyProtection="1">
      <protection hidden="1"/>
    </xf>
    <xf numFmtId="165" fontId="17" fillId="0" borderId="0" xfId="0" applyNumberFormat="1" applyFont="1" applyFill="1" applyProtection="1">
      <protection hidden="1"/>
    </xf>
    <xf numFmtId="165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 applyFill="1"/>
    <xf numFmtId="164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  <xf numFmtId="0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165" fontId="0" fillId="0" borderId="0" xfId="0" applyNumberFormat="1" applyFill="1"/>
    <xf numFmtId="165" fontId="15" fillId="0" borderId="0" xfId="0" applyNumberFormat="1" applyFont="1" applyFill="1" applyProtection="1">
      <protection hidden="1"/>
    </xf>
    <xf numFmtId="0" fontId="0" fillId="0" borderId="0" xfId="0" applyBorder="1" applyAlignment="1" applyProtection="1">
      <alignment horizontal="left" vertical="center"/>
    </xf>
    <xf numFmtId="0" fontId="0" fillId="0" borderId="0" xfId="0" applyFont="1" applyBorder="1" applyAlignment="1" applyProtection="1">
      <alignment horizontal="left"/>
      <protection hidden="1"/>
    </xf>
    <xf numFmtId="0" fontId="8" fillId="0" borderId="0" xfId="0" applyFont="1" applyBorder="1" applyAlignment="1" applyProtection="1">
      <alignment vertical="center"/>
    </xf>
    <xf numFmtId="0" fontId="8" fillId="0" borderId="0" xfId="0" applyFont="1" applyBorder="1" applyAlignment="1" applyProtection="1">
      <alignment horizontal="left" vertical="center"/>
    </xf>
    <xf numFmtId="0" fontId="8" fillId="0" borderId="0" xfId="0" applyFont="1" applyBorder="1" applyProtection="1">
      <protection hidden="1"/>
    </xf>
    <xf numFmtId="0" fontId="0" fillId="0" borderId="2" xfId="0" applyBorder="1" applyAlignment="1" applyProtection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164" fontId="12" fillId="4" borderId="19" xfId="0" applyNumberFormat="1" applyFont="1" applyFill="1" applyBorder="1" applyAlignment="1" applyProtection="1">
      <alignment vertical="center"/>
      <protection hidden="1"/>
    </xf>
    <xf numFmtId="164" fontId="12" fillId="4" borderId="7" xfId="0" applyNumberFormat="1" applyFont="1" applyFill="1" applyBorder="1" applyAlignment="1" applyProtection="1">
      <alignment vertical="center"/>
      <protection hidden="1"/>
    </xf>
    <xf numFmtId="164" fontId="12" fillId="4" borderId="8" xfId="0" applyNumberFormat="1" applyFont="1" applyFill="1" applyBorder="1" applyAlignment="1" applyProtection="1">
      <alignment vertical="center"/>
      <protection hidden="1"/>
    </xf>
    <xf numFmtId="0" fontId="1" fillId="0" borderId="0" xfId="0" applyFont="1" applyAlignment="1">
      <alignment horizontal="center" vertical="center"/>
    </xf>
    <xf numFmtId="165" fontId="15" fillId="5" borderId="0" xfId="0" applyNumberFormat="1" applyFont="1" applyFill="1" applyAlignment="1" applyProtection="1">
      <protection hidden="1"/>
    </xf>
    <xf numFmtId="0" fontId="0" fillId="7" borderId="2" xfId="0" applyFon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17" fontId="1" fillId="0" borderId="6" xfId="0" applyNumberFormat="1" applyFont="1" applyBorder="1" applyAlignment="1">
      <alignment horizontal="left" indent="1"/>
    </xf>
    <xf numFmtId="0" fontId="1" fillId="0" borderId="10" xfId="0" applyFont="1" applyBorder="1"/>
    <xf numFmtId="20" fontId="7" fillId="0" borderId="10" xfId="0" applyNumberFormat="1" applyFont="1" applyFill="1" applyBorder="1" applyAlignment="1" applyProtection="1">
      <alignment horizontal="center" vertical="center"/>
      <protection locked="0"/>
    </xf>
    <xf numFmtId="166" fontId="7" fillId="0" borderId="10" xfId="0" applyNumberFormat="1" applyFont="1" applyFill="1" applyBorder="1" applyAlignment="1" applyProtection="1">
      <alignment horizontal="center" vertical="center"/>
      <protection locked="0"/>
    </xf>
    <xf numFmtId="1" fontId="1" fillId="3" borderId="0" xfId="0" applyNumberFormat="1" applyFont="1" applyFill="1" applyBorder="1"/>
    <xf numFmtId="1" fontId="1" fillId="0" borderId="0" xfId="0" applyNumberFormat="1" applyFont="1" applyBorder="1"/>
    <xf numFmtId="1" fontId="7" fillId="0" borderId="2" xfId="0" applyNumberFormat="1" applyFont="1" applyFill="1" applyBorder="1" applyAlignment="1" applyProtection="1">
      <alignment horizontal="center" vertical="center"/>
      <protection locked="0"/>
    </xf>
    <xf numFmtId="1" fontId="7" fillId="0" borderId="0" xfId="0" applyNumberFormat="1" applyFont="1" applyFill="1" applyBorder="1" applyAlignment="1" applyProtection="1">
      <alignment horizontal="center" vertical="center"/>
      <protection locked="0"/>
    </xf>
    <xf numFmtId="1" fontId="16" fillId="0" borderId="0" xfId="0" applyNumberFormat="1" applyFont="1" applyFill="1" applyProtection="1">
      <protection hidden="1"/>
    </xf>
    <xf numFmtId="0" fontId="18" fillId="0" borderId="0" xfId="0" applyFont="1" applyProtection="1">
      <protection hidden="1"/>
    </xf>
    <xf numFmtId="0" fontId="18" fillId="0" borderId="0" xfId="0" applyFont="1" applyFill="1" applyProtection="1">
      <protection hidden="1"/>
    </xf>
    <xf numFmtId="0" fontId="19" fillId="0" borderId="0" xfId="0" applyFont="1" applyProtection="1">
      <protection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164" fontId="14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2" fillId="0" borderId="1" xfId="0" applyFont="1" applyBorder="1" applyAlignment="1" applyProtection="1">
      <alignment horizontal="left" vertical="center"/>
      <protection hidden="1"/>
    </xf>
    <xf numFmtId="0" fontId="13" fillId="9" borderId="6" xfId="0" applyFont="1" applyFill="1" applyBorder="1" applyAlignment="1" applyProtection="1">
      <alignment horizontal="center" vertical="center" wrapText="1"/>
      <protection locked="0" hidden="1"/>
    </xf>
    <xf numFmtId="0" fontId="13" fillId="9" borderId="9" xfId="0" applyFont="1" applyFill="1" applyBorder="1" applyAlignment="1" applyProtection="1">
      <alignment horizontal="center" vertical="center" wrapText="1"/>
      <protection locked="0" hidden="1"/>
    </xf>
    <xf numFmtId="0" fontId="13" fillId="9" borderId="10" xfId="0" applyFont="1" applyFill="1" applyBorder="1" applyAlignment="1" applyProtection="1">
      <alignment horizontal="center" vertical="center" wrapText="1"/>
      <protection locked="0" hidden="1"/>
    </xf>
    <xf numFmtId="0" fontId="13" fillId="0" borderId="6" xfId="0" applyFont="1" applyFill="1" applyBorder="1" applyAlignment="1" applyProtection="1">
      <alignment horizontal="center" vertical="center" wrapText="1"/>
      <protection locked="0" hidden="1"/>
    </xf>
    <xf numFmtId="0" fontId="13" fillId="0" borderId="9" xfId="0" applyFont="1" applyFill="1" applyBorder="1" applyAlignment="1" applyProtection="1">
      <alignment horizontal="center" vertical="center" wrapText="1"/>
      <protection locked="0" hidden="1"/>
    </xf>
    <xf numFmtId="0" fontId="13" fillId="0" borderId="10" xfId="0" applyFont="1" applyFill="1" applyBorder="1" applyAlignment="1" applyProtection="1">
      <alignment horizontal="center" vertical="center" wrapText="1"/>
      <protection locked="0" hidden="1"/>
    </xf>
    <xf numFmtId="0" fontId="13" fillId="9" borderId="3" xfId="0" applyFont="1" applyFill="1" applyBorder="1" applyAlignment="1" applyProtection="1">
      <alignment horizontal="center" vertical="center" wrapText="1"/>
      <protection hidden="1"/>
    </xf>
    <xf numFmtId="0" fontId="13" fillId="9" borderId="4" xfId="0" applyFont="1" applyFill="1" applyBorder="1" applyAlignment="1" applyProtection="1">
      <alignment horizontal="center" vertical="center" wrapText="1"/>
      <protection hidden="1"/>
    </xf>
    <xf numFmtId="0" fontId="13" fillId="0" borderId="3" xfId="0" applyFont="1" applyFill="1" applyBorder="1" applyAlignment="1" applyProtection="1">
      <alignment horizontal="center" vertical="center" wrapText="1"/>
      <protection hidden="1"/>
    </xf>
    <xf numFmtId="0" fontId="13" fillId="0" borderId="4" xfId="0" applyFont="1" applyFill="1" applyBorder="1" applyAlignment="1" applyProtection="1">
      <alignment horizontal="center" vertical="center" wrapText="1"/>
      <protection hidden="1"/>
    </xf>
    <xf numFmtId="164" fontId="13" fillId="0" borderId="3" xfId="0" applyNumberFormat="1" applyFont="1" applyFill="1" applyBorder="1" applyAlignment="1" applyProtection="1">
      <alignment horizontal="center" vertical="center"/>
      <protection hidden="1"/>
    </xf>
    <xf numFmtId="164" fontId="13" fillId="0" borderId="4" xfId="0" applyNumberFormat="1" applyFont="1" applyFill="1" applyBorder="1" applyAlignment="1" applyProtection="1">
      <alignment horizontal="center" vertical="center"/>
      <protection hidden="1"/>
    </xf>
    <xf numFmtId="164" fontId="13" fillId="9" borderId="2" xfId="0" applyNumberFormat="1" applyFont="1" applyFill="1" applyBorder="1" applyAlignment="1" applyProtection="1">
      <alignment horizontal="center" vertical="center"/>
      <protection hidden="1"/>
    </xf>
    <xf numFmtId="164" fontId="13" fillId="0" borderId="2" xfId="0" applyNumberFormat="1" applyFont="1" applyFill="1" applyBorder="1" applyAlignment="1" applyProtection="1">
      <alignment horizontal="center" vertical="center"/>
      <protection hidden="1"/>
    </xf>
    <xf numFmtId="0" fontId="13" fillId="0" borderId="3" xfId="0" applyFont="1" applyFill="1" applyBorder="1" applyAlignment="1" applyProtection="1">
      <alignment horizontal="center" vertical="center" wrapText="1"/>
      <protection locked="0" hidden="1"/>
    </xf>
    <xf numFmtId="0" fontId="13" fillId="0" borderId="4" xfId="0" applyFont="1" applyFill="1" applyBorder="1" applyAlignment="1" applyProtection="1">
      <alignment horizontal="center" vertical="center" wrapText="1"/>
      <protection locked="0" hidden="1"/>
    </xf>
    <xf numFmtId="0" fontId="13" fillId="0" borderId="2" xfId="0" applyFont="1" applyFill="1" applyBorder="1" applyAlignment="1" applyProtection="1">
      <alignment horizontal="center" vertical="center" wrapText="1"/>
      <protection hidden="1"/>
    </xf>
    <xf numFmtId="0" fontId="13" fillId="9" borderId="2" xfId="0" applyFont="1" applyFill="1" applyBorder="1" applyAlignment="1" applyProtection="1">
      <alignment horizontal="center" vertical="center" wrapText="1"/>
      <protection hidden="1"/>
    </xf>
    <xf numFmtId="165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locked="0" hidden="1"/>
    </xf>
    <xf numFmtId="0" fontId="13" fillId="9" borderId="4" xfId="0" applyFont="1" applyFill="1" applyBorder="1" applyAlignment="1" applyProtection="1">
      <alignment horizontal="center" vertical="center" wrapText="1"/>
      <protection locked="0" hidden="1"/>
    </xf>
    <xf numFmtId="0" fontId="14" fillId="0" borderId="6" xfId="0" applyFont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0" fontId="14" fillId="0" borderId="10" xfId="0" applyFont="1" applyBorder="1" applyAlignment="1" applyProtection="1">
      <alignment horizontal="center" vertical="center" wrapText="1"/>
      <protection hidden="1"/>
    </xf>
    <xf numFmtId="1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" fontId="12" fillId="4" borderId="7" xfId="0" applyNumberFormat="1" applyFont="1" applyFill="1" applyBorder="1" applyAlignment="1" applyProtection="1">
      <alignment horizontal="left" vertical="center"/>
      <protection locked="0" hidden="1"/>
    </xf>
    <xf numFmtId="1" fontId="12" fillId="4" borderId="8" xfId="0" applyNumberFormat="1" applyFont="1" applyFill="1" applyBorder="1" applyAlignment="1" applyProtection="1">
      <alignment horizontal="left" vertical="center"/>
      <protection locked="0" hidden="1"/>
    </xf>
    <xf numFmtId="0" fontId="13" fillId="9" borderId="2" xfId="0" quotePrefix="1" applyFont="1" applyFill="1" applyBorder="1" applyAlignment="1" applyProtection="1">
      <alignment horizontal="center" vertical="center"/>
      <protection hidden="1"/>
    </xf>
    <xf numFmtId="0" fontId="13" fillId="9" borderId="2" xfId="0" applyFont="1" applyFill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left" vertical="center" wrapText="1"/>
      <protection locked="0" hidden="1"/>
    </xf>
    <xf numFmtId="0" fontId="13" fillId="0" borderId="2" xfId="0" quotePrefix="1" applyFont="1" applyFill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center" vertical="center"/>
      <protection hidden="1"/>
    </xf>
    <xf numFmtId="165" fontId="13" fillId="0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3" fillId="9" borderId="2" xfId="0" applyFont="1" applyFill="1" applyBorder="1" applyAlignment="1" applyProtection="1">
      <alignment horizontal="left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left" vertical="center" wrapText="1"/>
      <protection locked="0" hidden="1"/>
    </xf>
    <xf numFmtId="0" fontId="3" fillId="0" borderId="11" xfId="0" applyFont="1" applyFill="1" applyBorder="1" applyAlignment="1" applyProtection="1">
      <alignment horizontal="center" vertical="center" wrapText="1"/>
      <protection hidden="1"/>
    </xf>
    <xf numFmtId="0" fontId="3" fillId="0" borderId="12" xfId="0" applyFont="1" applyFill="1" applyBorder="1" applyAlignment="1" applyProtection="1">
      <alignment horizontal="center" vertical="center" wrapText="1"/>
      <protection hidden="1"/>
    </xf>
    <xf numFmtId="0" fontId="3" fillId="0" borderId="13" xfId="0" applyFont="1" applyFill="1" applyBorder="1" applyAlignment="1" applyProtection="1">
      <alignment horizontal="center" vertical="center" wrapText="1"/>
      <protection hidden="1"/>
    </xf>
    <xf numFmtId="0" fontId="3" fillId="0" borderId="14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15" xfId="0" applyFont="1" applyFill="1" applyBorder="1" applyAlignment="1" applyProtection="1">
      <alignment horizontal="center" vertical="center" wrapText="1"/>
      <protection hidden="1"/>
    </xf>
    <xf numFmtId="0" fontId="3" fillId="0" borderId="16" xfId="0" applyFont="1" applyFill="1" applyBorder="1" applyAlignment="1" applyProtection="1">
      <alignment horizontal="center" vertical="center" wrapText="1"/>
      <protection hidden="1"/>
    </xf>
    <xf numFmtId="0" fontId="3" fillId="0" borderId="17" xfId="0" applyFont="1" applyFill="1" applyBorder="1" applyAlignment="1" applyProtection="1">
      <alignment horizontal="center" vertical="center" wrapText="1"/>
      <protection hidden="1"/>
    </xf>
    <xf numFmtId="0" fontId="3" fillId="0" borderId="18" xfId="0" applyFont="1" applyFill="1" applyBorder="1" applyAlignment="1" applyProtection="1">
      <alignment horizontal="center" vertical="center" wrapText="1"/>
      <protection hidden="1"/>
    </xf>
    <xf numFmtId="0" fontId="3" fillId="4" borderId="11" xfId="0" applyFont="1" applyFill="1" applyBorder="1" applyAlignment="1" applyProtection="1">
      <alignment horizontal="center" vertical="center" wrapText="1"/>
      <protection locked="0" hidden="1"/>
    </xf>
    <xf numFmtId="0" fontId="3" fillId="4" borderId="12" xfId="0" applyFont="1" applyFill="1" applyBorder="1" applyAlignment="1" applyProtection="1">
      <alignment horizontal="center" vertical="center" wrapText="1"/>
      <protection locked="0" hidden="1"/>
    </xf>
    <xf numFmtId="0" fontId="3" fillId="4" borderId="13" xfId="0" applyFont="1" applyFill="1" applyBorder="1" applyAlignment="1" applyProtection="1">
      <alignment horizontal="center" vertical="center" wrapText="1"/>
      <protection locked="0" hidden="1"/>
    </xf>
    <xf numFmtId="0" fontId="3" fillId="4" borderId="14" xfId="0" applyFont="1" applyFill="1" applyBorder="1" applyAlignment="1" applyProtection="1">
      <alignment horizontal="center" vertical="center" wrapText="1"/>
      <protection locked="0" hidden="1"/>
    </xf>
    <xf numFmtId="0" fontId="3" fillId="4" borderId="0" xfId="0" applyFont="1" applyFill="1" applyBorder="1" applyAlignment="1" applyProtection="1">
      <alignment horizontal="center" vertical="center" wrapText="1"/>
      <protection locked="0" hidden="1"/>
    </xf>
    <xf numFmtId="0" fontId="3" fillId="4" borderId="15" xfId="0" applyFont="1" applyFill="1" applyBorder="1" applyAlignment="1" applyProtection="1">
      <alignment horizontal="center" vertical="center" wrapText="1"/>
      <protection locked="0" hidden="1"/>
    </xf>
    <xf numFmtId="0" fontId="3" fillId="4" borderId="16" xfId="0" applyFont="1" applyFill="1" applyBorder="1" applyAlignment="1" applyProtection="1">
      <alignment horizontal="center" vertical="center" wrapText="1"/>
      <protection locked="0" hidden="1"/>
    </xf>
    <xf numFmtId="0" fontId="3" fillId="4" borderId="17" xfId="0" applyFont="1" applyFill="1" applyBorder="1" applyAlignment="1" applyProtection="1">
      <alignment horizontal="center" vertical="center" wrapText="1"/>
      <protection locked="0" hidden="1"/>
    </xf>
    <xf numFmtId="0" fontId="3" fillId="4" borderId="18" xfId="0" applyFont="1" applyFill="1" applyBorder="1" applyAlignment="1" applyProtection="1">
      <alignment horizontal="center" vertical="center" wrapText="1"/>
      <protection locked="0" hidden="1"/>
    </xf>
    <xf numFmtId="2" fontId="13" fillId="0" borderId="3" xfId="0" applyNumberFormat="1" applyFont="1" applyBorder="1" applyAlignment="1" applyProtection="1">
      <alignment horizontal="center" vertical="center"/>
      <protection hidden="1"/>
    </xf>
    <xf numFmtId="2" fontId="13" fillId="0" borderId="5" xfId="0" applyNumberFormat="1" applyFont="1" applyBorder="1" applyAlignment="1" applyProtection="1">
      <alignment horizontal="center" vertical="center"/>
      <protection hidden="1"/>
    </xf>
    <xf numFmtId="2" fontId="13" fillId="0" borderId="4" xfId="0" applyNumberFormat="1" applyFont="1" applyBorder="1" applyAlignment="1" applyProtection="1">
      <alignment horizontal="center" vertical="center"/>
      <protection hidden="1"/>
    </xf>
    <xf numFmtId="0" fontId="6" fillId="0" borderId="6" xfId="0" applyFont="1" applyBorder="1" applyAlignment="1" applyProtection="1">
      <alignment horizontal="center" vertical="center" wrapText="1"/>
      <protection hidden="1"/>
    </xf>
    <xf numFmtId="0" fontId="6" fillId="0" borderId="9" xfId="0" applyFont="1" applyBorder="1" applyAlignment="1" applyProtection="1">
      <alignment horizontal="center" vertical="center" wrapText="1"/>
      <protection hidden="1"/>
    </xf>
    <xf numFmtId="0" fontId="6" fillId="0" borderId="10" xfId="0" applyFont="1" applyBorder="1" applyAlignment="1" applyProtection="1">
      <alignment horizontal="center" vertical="center" wrapText="1"/>
      <protection hidden="1"/>
    </xf>
    <xf numFmtId="0" fontId="6" fillId="0" borderId="2" xfId="0" applyFont="1" applyBorder="1" applyAlignment="1" applyProtection="1">
      <alignment horizontal="center" vertical="center" wrapText="1"/>
      <protection hidden="1"/>
    </xf>
    <xf numFmtId="0" fontId="13" fillId="0" borderId="11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2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4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5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7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8" xfId="0" applyNumberFormat="1" applyFont="1" applyFill="1" applyBorder="1" applyAlignment="1" applyProtection="1">
      <alignment horizontal="center" vertical="center" wrapText="1"/>
      <protection hidden="1"/>
    </xf>
    <xf numFmtId="2" fontId="13" fillId="0" borderId="2" xfId="0" applyNumberFormat="1" applyFont="1" applyBorder="1" applyAlignment="1" applyProtection="1">
      <alignment horizontal="center" vertical="center"/>
      <protection hidden="1"/>
    </xf>
    <xf numFmtId="164" fontId="12" fillId="4" borderId="1" xfId="0" applyNumberFormat="1" applyFont="1" applyFill="1" applyBorder="1" applyAlignment="1" applyProtection="1">
      <alignment horizontal="left" vertical="center"/>
      <protection locked="0" hidden="1"/>
    </xf>
    <xf numFmtId="167" fontId="12" fillId="0" borderId="1" xfId="0" applyNumberFormat="1" applyFont="1" applyFill="1" applyBorder="1" applyAlignment="1" applyProtection="1">
      <alignment horizontal="left" vertical="center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7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8" xfId="0" applyNumberFormat="1" applyFont="1" applyFill="1" applyBorder="1" applyAlignment="1" applyProtection="1">
      <alignment horizontal="left" vertical="center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0" fontId="12" fillId="0" borderId="19" xfId="0" applyFont="1" applyBorder="1" applyAlignment="1" applyProtection="1">
      <alignment horizontal="left" vertical="center"/>
      <protection hidden="1"/>
    </xf>
    <xf numFmtId="0" fontId="12" fillId="0" borderId="8" xfId="0" applyFont="1" applyBorder="1" applyAlignment="1" applyProtection="1">
      <alignment horizontal="left" vertical="center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locked="0"/>
    </xf>
    <xf numFmtId="0" fontId="2" fillId="0" borderId="9" xfId="0" applyFont="1" applyFill="1" applyBorder="1" applyAlignment="1" applyProtection="1">
      <alignment horizontal="center" vertical="center" wrapText="1"/>
      <protection locked="0"/>
    </xf>
    <xf numFmtId="0" fontId="2" fillId="0" borderId="10" xfId="0" applyFont="1" applyFill="1" applyBorder="1" applyAlignment="1" applyProtection="1">
      <alignment horizontal="center" vertical="center" wrapText="1"/>
      <protection locked="0"/>
    </xf>
    <xf numFmtId="0" fontId="13" fillId="0" borderId="3" xfId="0" applyFont="1" applyFill="1" applyBorder="1" applyAlignment="1" applyProtection="1">
      <alignment horizontal="center" vertical="center"/>
      <protection hidden="1"/>
    </xf>
    <xf numFmtId="0" fontId="13" fillId="0" borderId="4" xfId="0" applyFont="1" applyFill="1" applyBorder="1" applyAlignment="1" applyProtection="1">
      <alignment horizontal="center" vertical="center"/>
      <protection hidden="1"/>
    </xf>
    <xf numFmtId="1" fontId="12" fillId="4" borderId="19" xfId="0" applyNumberFormat="1" applyFont="1" applyFill="1" applyBorder="1" applyAlignment="1" applyProtection="1">
      <alignment horizontal="left" vertical="center"/>
      <protection hidden="1"/>
    </xf>
    <xf numFmtId="1" fontId="12" fillId="4" borderId="7" xfId="0" applyNumberFormat="1" applyFont="1" applyFill="1" applyBorder="1" applyAlignment="1" applyProtection="1">
      <alignment horizontal="left" vertical="center"/>
      <protection hidden="1"/>
    </xf>
    <xf numFmtId="1" fontId="12" fillId="4" borderId="8" xfId="0" applyNumberFormat="1" applyFont="1" applyFill="1" applyBorder="1" applyAlignment="1" applyProtection="1">
      <alignment horizontal="left" vertical="center"/>
      <protection hidden="1"/>
    </xf>
    <xf numFmtId="164" fontId="13" fillId="9" borderId="3" xfId="0" applyNumberFormat="1" applyFont="1" applyFill="1" applyBorder="1" applyAlignment="1" applyProtection="1">
      <alignment horizontal="center" vertical="center"/>
      <protection hidden="1"/>
    </xf>
    <xf numFmtId="164" fontId="13" fillId="9" borderId="4" xfId="0" applyNumberFormat="1" applyFont="1" applyFill="1" applyBorder="1" applyAlignment="1" applyProtection="1">
      <alignment horizontal="center" vertical="center"/>
      <protection hidden="1"/>
    </xf>
    <xf numFmtId="0" fontId="13" fillId="9" borderId="3" xfId="0" applyFont="1" applyFill="1" applyBorder="1" applyAlignment="1" applyProtection="1">
      <alignment horizontal="center" vertical="center"/>
      <protection hidden="1"/>
    </xf>
    <xf numFmtId="0" fontId="13" fillId="9" borderId="4" xfId="0" applyFont="1" applyFill="1" applyBorder="1" applyAlignment="1" applyProtection="1">
      <alignment horizontal="center" vertical="center"/>
      <protection hidden="1"/>
    </xf>
    <xf numFmtId="0" fontId="2" fillId="9" borderId="6" xfId="0" applyFont="1" applyFill="1" applyBorder="1" applyAlignment="1" applyProtection="1">
      <alignment horizontal="center" vertical="center" wrapText="1"/>
      <protection locked="0"/>
    </xf>
    <xf numFmtId="0" fontId="2" fillId="9" borderId="9" xfId="0" applyFont="1" applyFill="1" applyBorder="1" applyAlignment="1" applyProtection="1">
      <alignment horizontal="center" vertical="center" wrapText="1"/>
      <protection locked="0"/>
    </xf>
    <xf numFmtId="0" fontId="2" fillId="9" borderId="10" xfId="0" applyFont="1" applyFill="1" applyBorder="1" applyAlignment="1" applyProtection="1">
      <alignment horizontal="center" vertical="center" wrapText="1"/>
      <protection locked="0"/>
    </xf>
    <xf numFmtId="0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2" xfId="0" applyNumberFormat="1" applyFont="1" applyFill="1" applyBorder="1" applyAlignment="1" applyProtection="1">
      <alignment horizontal="center" vertical="center" wrapText="1"/>
      <protection hidden="1"/>
    </xf>
    <xf numFmtId="2" fontId="13" fillId="0" borderId="11" xfId="0" applyNumberFormat="1" applyFont="1" applyBorder="1" applyAlignment="1" applyProtection="1">
      <alignment horizontal="center" vertical="center"/>
      <protection hidden="1"/>
    </xf>
    <xf numFmtId="2" fontId="13" fillId="0" borderId="13" xfId="0" applyNumberFormat="1" applyFont="1" applyBorder="1" applyAlignment="1" applyProtection="1">
      <alignment horizontal="center" vertical="center"/>
      <protection hidden="1"/>
    </xf>
    <xf numFmtId="2" fontId="13" fillId="0" borderId="14" xfId="0" applyNumberFormat="1" applyFont="1" applyBorder="1" applyAlignment="1" applyProtection="1">
      <alignment horizontal="center" vertical="center"/>
      <protection hidden="1"/>
    </xf>
    <xf numFmtId="2" fontId="13" fillId="0" borderId="15" xfId="0" applyNumberFormat="1" applyFont="1" applyBorder="1" applyAlignment="1" applyProtection="1">
      <alignment horizontal="center" vertical="center"/>
      <protection hidden="1"/>
    </xf>
    <xf numFmtId="2" fontId="13" fillId="0" borderId="16" xfId="0" applyNumberFormat="1" applyFont="1" applyBorder="1" applyAlignment="1" applyProtection="1">
      <alignment horizontal="center" vertical="center"/>
      <protection hidden="1"/>
    </xf>
    <xf numFmtId="2" fontId="13" fillId="0" borderId="18" xfId="0" applyNumberFormat="1" applyFont="1" applyBorder="1" applyAlignment="1" applyProtection="1">
      <alignment horizontal="center" vertical="center"/>
      <protection hidden="1"/>
    </xf>
    <xf numFmtId="0" fontId="3" fillId="0" borderId="2" xfId="0" applyFont="1" applyFill="1" applyBorder="1" applyAlignment="1" applyProtection="1">
      <alignment horizontal="center" vertical="center" wrapText="1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hidden="1"/>
    </xf>
    <xf numFmtId="164" fontId="12" fillId="4" borderId="7" xfId="0" applyNumberFormat="1" applyFont="1" applyFill="1" applyBorder="1" applyAlignment="1" applyProtection="1">
      <alignment horizontal="left" vertical="center"/>
      <protection hidden="1"/>
    </xf>
    <xf numFmtId="164" fontId="12" fillId="4" borderId="8" xfId="0" applyNumberFormat="1" applyFont="1" applyFill="1" applyBorder="1" applyAlignment="1" applyProtection="1">
      <alignment horizontal="left" vertical="center"/>
      <protection hidden="1"/>
    </xf>
    <xf numFmtId="167" fontId="12" fillId="0" borderId="19" xfId="0" applyNumberFormat="1" applyFont="1" applyFill="1" applyBorder="1" applyAlignment="1" applyProtection="1">
      <alignment horizontal="left" vertical="center"/>
      <protection hidden="1"/>
    </xf>
    <xf numFmtId="167" fontId="12" fillId="0" borderId="7" xfId="0" applyNumberFormat="1" applyFont="1" applyFill="1" applyBorder="1" applyAlignment="1" applyProtection="1">
      <alignment horizontal="left" vertical="center"/>
      <protection hidden="1"/>
    </xf>
    <xf numFmtId="167" fontId="12" fillId="0" borderId="8" xfId="0" applyNumberFormat="1" applyFont="1" applyFill="1" applyBorder="1" applyAlignment="1" applyProtection="1">
      <alignment horizontal="left" vertical="center"/>
      <protection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2" fontId="3" fillId="0" borderId="2" xfId="0" applyNumberFormat="1" applyFont="1" applyBorder="1" applyAlignment="1" applyProtection="1">
      <alignment horizontal="center" vertical="center"/>
    </xf>
    <xf numFmtId="2" fontId="3" fillId="0" borderId="3" xfId="0" applyNumberFormat="1" applyFont="1" applyBorder="1" applyAlignment="1" applyProtection="1">
      <alignment horizontal="center" vertical="center"/>
    </xf>
    <xf numFmtId="2" fontId="3" fillId="0" borderId="5" xfId="0" applyNumberFormat="1" applyFont="1" applyBorder="1" applyAlignment="1" applyProtection="1">
      <alignment horizontal="center" vertical="center"/>
    </xf>
    <xf numFmtId="2" fontId="3" fillId="0" borderId="4" xfId="0" applyNumberFormat="1" applyFont="1" applyBorder="1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3" fillId="0" borderId="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4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62"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107950</xdr:rowOff>
        </xdr:from>
        <xdr:to>
          <xdr:col>19</xdr:col>
          <xdr:colOff>438150</xdr:colOff>
          <xdr:row>47</xdr:row>
          <xdr:rowOff>152400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</xdr:colOff>
          <xdr:row>27</xdr:row>
          <xdr:rowOff>69850</xdr:rowOff>
        </xdr:from>
        <xdr:to>
          <xdr:col>4</xdr:col>
          <xdr:colOff>2946400</xdr:colOff>
          <xdr:row>27</xdr:row>
          <xdr:rowOff>927100</xdr:rowOff>
        </xdr:to>
        <xdr:sp macro="" textlink="">
          <xdr:nvSpPr>
            <xdr:cNvPr id="5121" name="Group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23</xdr:row>
          <xdr:rowOff>50800</xdr:rowOff>
        </xdr:from>
        <xdr:to>
          <xdr:col>4</xdr:col>
          <xdr:colOff>2927350</xdr:colOff>
          <xdr:row>23</xdr:row>
          <xdr:rowOff>1676400</xdr:rowOff>
        </xdr:to>
        <xdr:sp macro="" textlink="">
          <xdr:nvSpPr>
            <xdr:cNvPr id="5122" name="Group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35</xdr:row>
          <xdr:rowOff>50800</xdr:rowOff>
        </xdr:from>
        <xdr:to>
          <xdr:col>4</xdr:col>
          <xdr:colOff>2927350</xdr:colOff>
          <xdr:row>35</xdr:row>
          <xdr:rowOff>742950</xdr:rowOff>
        </xdr:to>
        <xdr:sp macro="" textlink="">
          <xdr:nvSpPr>
            <xdr:cNvPr id="5123" name="Group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38</xdr:row>
          <xdr:rowOff>152400</xdr:rowOff>
        </xdr:from>
        <xdr:to>
          <xdr:col>4</xdr:col>
          <xdr:colOff>3105150</xdr:colOff>
          <xdr:row>38</xdr:row>
          <xdr:rowOff>1879600</xdr:rowOff>
        </xdr:to>
        <xdr:sp macro="" textlink="">
          <xdr:nvSpPr>
            <xdr:cNvPr id="5124" name="Group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73</xdr:row>
          <xdr:rowOff>146050</xdr:rowOff>
        </xdr:from>
        <xdr:to>
          <xdr:col>4</xdr:col>
          <xdr:colOff>2965450</xdr:colOff>
          <xdr:row>74</xdr:row>
          <xdr:rowOff>0</xdr:rowOff>
        </xdr:to>
        <xdr:sp macro="" textlink="">
          <xdr:nvSpPr>
            <xdr:cNvPr id="5125" name="Group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</xdr:colOff>
          <xdr:row>26</xdr:row>
          <xdr:rowOff>69850</xdr:rowOff>
        </xdr:from>
        <xdr:to>
          <xdr:col>4</xdr:col>
          <xdr:colOff>2946400</xdr:colOff>
          <xdr:row>26</xdr:row>
          <xdr:rowOff>927100</xdr:rowOff>
        </xdr:to>
        <xdr:sp macro="" textlink="">
          <xdr:nvSpPr>
            <xdr:cNvPr id="5126" name="Group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152400</xdr:rowOff>
    </xdr:from>
    <xdr:to>
      <xdr:col>9</xdr:col>
      <xdr:colOff>590550</xdr:colOff>
      <xdr:row>5</xdr:row>
      <xdr:rowOff>38101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85750" y="342900"/>
          <a:ext cx="5791200" cy="64770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/>
            <a:t>Your macro has</a:t>
          </a:r>
          <a:r>
            <a:rPr lang="en-US" sz="1400" b="1" baseline="0"/>
            <a:t> been disabled, make sure you activate the macro first.</a:t>
          </a:r>
        </a:p>
        <a:p>
          <a:pPr algn="ctr"/>
          <a:r>
            <a:rPr lang="en-US" sz="1400" b="1" baseline="0"/>
            <a:t>Please follow below guide to activate macro</a:t>
          </a:r>
          <a:endParaRPr lang="en-US" sz="1400" b="1"/>
        </a:p>
      </xdr:txBody>
    </xdr:sp>
    <xdr:clientData/>
  </xdr:twoCellAnchor>
  <xdr:twoCellAnchor editAs="oneCell">
    <xdr:from>
      <xdr:col>0</xdr:col>
      <xdr:colOff>0</xdr:colOff>
      <xdr:row>9</xdr:row>
      <xdr:rowOff>0</xdr:rowOff>
    </xdr:from>
    <xdr:to>
      <xdr:col>8</xdr:col>
      <xdr:colOff>295275</xdr:colOff>
      <xdr:row>20</xdr:row>
      <xdr:rowOff>85725</xdr:rowOff>
    </xdr:to>
    <xdr:pic>
      <xdr:nvPicPr>
        <xdr:cNvPr id="3" name="Picture 2" descr="option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714500"/>
          <a:ext cx="5172075" cy="2181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7</xdr:col>
      <xdr:colOff>400050</xdr:colOff>
      <xdr:row>45</xdr:row>
      <xdr:rowOff>152400</xdr:rowOff>
    </xdr:to>
    <xdr:pic>
      <xdr:nvPicPr>
        <xdr:cNvPr id="4" name="Picture 3" descr="choose.JP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4572000"/>
          <a:ext cx="4667250" cy="4152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merio\4.Timesheet\November\Timesheet%20Format%20-%2020160902%20-%20Oct-16_Overtim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 Activation"/>
      <sheetName val="Help!"/>
      <sheetName val="Timesheet-Overtime"/>
      <sheetName val="Summary"/>
      <sheetName val="List"/>
      <sheetName val="Ti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Visio_Drawing.vsdx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showGridLines="0" topLeftCell="A25" zoomScale="80" zoomScaleNormal="80" workbookViewId="0">
      <selection activeCell="W40" sqref="W40"/>
    </sheetView>
  </sheetViews>
  <sheetFormatPr defaultRowHeight="14.5" x14ac:dyDescent="0.35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5" shapeId="3073" r:id="rId4">
          <objectPr defaultSize="0" autoPict="0" r:id="rId5">
            <anchor moveWithCells="1">
              <from>
                <xdr:col>4</xdr:col>
                <xdr:colOff>152400</xdr:colOff>
                <xdr:row>2</xdr:row>
                <xdr:rowOff>107950</xdr:rowOff>
              </from>
              <to>
                <xdr:col>19</xdr:col>
                <xdr:colOff>438150</xdr:colOff>
                <xdr:row>47</xdr:row>
                <xdr:rowOff>152400</xdr:rowOff>
              </to>
            </anchor>
          </objectPr>
        </oleObject>
      </mc:Choice>
      <mc:Fallback>
        <oleObject progId="Visio.Drawing.15" shapeId="3073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0000"/>
  </sheetPr>
  <dimension ref="A1:F88"/>
  <sheetViews>
    <sheetView showGridLines="0" workbookViewId="0">
      <selection activeCell="E14" sqref="E14"/>
    </sheetView>
  </sheetViews>
  <sheetFormatPr defaultColWidth="9.1796875" defaultRowHeight="20.149999999999999" customHeight="1" x14ac:dyDescent="0.35"/>
  <cols>
    <col min="1" max="1" width="5.7265625" style="33" customWidth="1"/>
    <col min="2" max="2" width="45.54296875" style="33" bestFit="1" customWidth="1"/>
    <col min="3" max="4" width="14.7265625" style="32" customWidth="1"/>
    <col min="5" max="5" width="49.453125" style="33" customWidth="1"/>
    <col min="6" max="6" width="63.7265625" style="33" customWidth="1"/>
    <col min="7" max="16384" width="9.1796875" style="33"/>
  </cols>
  <sheetData>
    <row r="1" spans="1:2" ht="20.149999999999999" customHeight="1" x14ac:dyDescent="0.5">
      <c r="A1" s="42" t="s">
        <v>221</v>
      </c>
      <c r="B1" s="31"/>
    </row>
    <row r="3" spans="1:2" ht="20.149999999999999" customHeight="1" x14ac:dyDescent="0.35">
      <c r="A3" s="43" t="s">
        <v>222</v>
      </c>
    </row>
    <row r="4" spans="1:2" ht="20.149999999999999" customHeight="1" x14ac:dyDescent="0.35">
      <c r="A4" s="43" t="s">
        <v>134</v>
      </c>
    </row>
    <row r="5" spans="1:2" ht="20.149999999999999" customHeight="1" x14ac:dyDescent="0.35">
      <c r="A5" s="43" t="s">
        <v>155</v>
      </c>
    </row>
    <row r="6" spans="1:2" ht="20.149999999999999" customHeight="1" x14ac:dyDescent="0.35">
      <c r="A6" s="43" t="s">
        <v>156</v>
      </c>
    </row>
    <row r="7" spans="1:2" ht="20.149999999999999" customHeight="1" x14ac:dyDescent="0.35">
      <c r="A7" s="43" t="s">
        <v>157</v>
      </c>
    </row>
    <row r="8" spans="1:2" ht="20.149999999999999" customHeight="1" x14ac:dyDescent="0.35">
      <c r="A8" s="43" t="s">
        <v>223</v>
      </c>
    </row>
    <row r="9" spans="1:2" ht="20.149999999999999" customHeight="1" x14ac:dyDescent="0.35">
      <c r="A9" s="43"/>
    </row>
    <row r="10" spans="1:2" ht="20.149999999999999" customHeight="1" x14ac:dyDescent="0.35">
      <c r="A10" s="88" t="s">
        <v>158</v>
      </c>
    </row>
    <row r="11" spans="1:2" ht="20.149999999999999" customHeight="1" x14ac:dyDescent="0.35">
      <c r="A11" s="43" t="s">
        <v>163</v>
      </c>
    </row>
    <row r="12" spans="1:2" ht="20.149999999999999" customHeight="1" x14ac:dyDescent="0.35">
      <c r="A12" s="43" t="s">
        <v>164</v>
      </c>
    </row>
    <row r="13" spans="1:2" ht="20.149999999999999" customHeight="1" x14ac:dyDescent="0.35">
      <c r="A13" s="43" t="s">
        <v>165</v>
      </c>
    </row>
    <row r="14" spans="1:2" s="87" customFormat="1" ht="20.149999999999999" customHeight="1" x14ac:dyDescent="0.35">
      <c r="A14" s="43" t="s">
        <v>166</v>
      </c>
    </row>
    <row r="15" spans="1:2" s="87" customFormat="1" ht="20.149999999999999" customHeight="1" x14ac:dyDescent="0.35">
      <c r="A15" s="43"/>
    </row>
    <row r="16" spans="1:2" s="87" customFormat="1" ht="20.149999999999999" customHeight="1" x14ac:dyDescent="0.35">
      <c r="A16" s="89" t="s">
        <v>159</v>
      </c>
    </row>
    <row r="17" spans="1:6" s="87" customFormat="1" ht="20.149999999999999" customHeight="1" x14ac:dyDescent="0.35">
      <c r="A17" s="86" t="s">
        <v>160</v>
      </c>
    </row>
    <row r="18" spans="1:6" s="87" customFormat="1" ht="20.149999999999999" customHeight="1" x14ac:dyDescent="0.35">
      <c r="A18" s="86" t="s">
        <v>161</v>
      </c>
    </row>
    <row r="19" spans="1:6" s="87" customFormat="1" ht="20.149999999999999" customHeight="1" x14ac:dyDescent="0.35">
      <c r="A19" s="86" t="s">
        <v>162</v>
      </c>
    </row>
    <row r="20" spans="1:6" ht="20.149999999999999" customHeight="1" x14ac:dyDescent="0.35">
      <c r="A20" s="86"/>
    </row>
    <row r="21" spans="1:6" ht="20.149999999999999" customHeight="1" x14ac:dyDescent="0.35">
      <c r="A21" s="89" t="s">
        <v>167</v>
      </c>
    </row>
    <row r="22" spans="1:6" ht="20.149999999999999" customHeight="1" x14ac:dyDescent="0.35">
      <c r="A22" s="86"/>
    </row>
    <row r="23" spans="1:6" s="34" customFormat="1" ht="28.5" customHeight="1" x14ac:dyDescent="0.35">
      <c r="A23" s="44" t="s">
        <v>89</v>
      </c>
      <c r="B23" s="44" t="s">
        <v>90</v>
      </c>
      <c r="C23" s="44" t="s">
        <v>132</v>
      </c>
      <c r="D23" s="45" t="s">
        <v>173</v>
      </c>
      <c r="E23" s="44" t="s">
        <v>91</v>
      </c>
      <c r="F23" s="44" t="s">
        <v>92</v>
      </c>
    </row>
    <row r="24" spans="1:6" s="37" customFormat="1" ht="140.25" customHeight="1" x14ac:dyDescent="0.35">
      <c r="A24" s="46">
        <v>1</v>
      </c>
      <c r="B24" s="47" t="s">
        <v>0</v>
      </c>
      <c r="C24" s="48" t="s">
        <v>93</v>
      </c>
      <c r="D24" s="48" t="s">
        <v>117</v>
      </c>
      <c r="E24" s="48" t="s">
        <v>94</v>
      </c>
      <c r="F24" s="49" t="s">
        <v>95</v>
      </c>
    </row>
    <row r="25" spans="1:6" s="37" customFormat="1" ht="20.149999999999999" customHeight="1" x14ac:dyDescent="0.35">
      <c r="A25" s="46">
        <v>2</v>
      </c>
      <c r="B25" s="47" t="s">
        <v>1</v>
      </c>
      <c r="C25" s="48" t="s">
        <v>93</v>
      </c>
      <c r="D25" s="48" t="s">
        <v>117</v>
      </c>
      <c r="E25" s="50" t="s">
        <v>96</v>
      </c>
      <c r="F25" s="38"/>
    </row>
    <row r="26" spans="1:6" s="37" customFormat="1" ht="29" x14ac:dyDescent="0.35">
      <c r="A26" s="35">
        <v>3</v>
      </c>
      <c r="B26" s="47" t="s">
        <v>2</v>
      </c>
      <c r="C26" s="48" t="s">
        <v>93</v>
      </c>
      <c r="D26" s="48" t="s">
        <v>117</v>
      </c>
      <c r="E26" s="50" t="s">
        <v>97</v>
      </c>
      <c r="F26" s="51" t="s">
        <v>120</v>
      </c>
    </row>
    <row r="27" spans="1:6" s="37" customFormat="1" ht="78.75" customHeight="1" x14ac:dyDescent="0.35">
      <c r="A27" s="35">
        <v>4</v>
      </c>
      <c r="B27" s="50" t="s">
        <v>180</v>
      </c>
      <c r="C27" s="48" t="s">
        <v>93</v>
      </c>
      <c r="D27" s="48" t="s">
        <v>117</v>
      </c>
      <c r="E27" s="55" t="s">
        <v>186</v>
      </c>
      <c r="F27" s="51" t="s">
        <v>187</v>
      </c>
    </row>
    <row r="28" spans="1:6" s="37" customFormat="1" ht="106.5" customHeight="1" x14ac:dyDescent="0.35">
      <c r="A28" s="35">
        <v>5</v>
      </c>
      <c r="B28" s="47" t="s">
        <v>65</v>
      </c>
      <c r="C28" s="48" t="s">
        <v>93</v>
      </c>
      <c r="D28" s="48" t="s">
        <v>143</v>
      </c>
      <c r="E28" s="52" t="s">
        <v>98</v>
      </c>
      <c r="F28" s="51" t="s">
        <v>121</v>
      </c>
    </row>
    <row r="29" spans="1:6" s="37" customFormat="1" ht="20.149999999999999" customHeight="1" x14ac:dyDescent="0.35">
      <c r="A29" s="35">
        <f t="shared" ref="A29:A61" si="0">A28+1</f>
        <v>6</v>
      </c>
      <c r="B29" s="47" t="s">
        <v>3</v>
      </c>
      <c r="C29" s="53" t="s">
        <v>99</v>
      </c>
      <c r="D29" s="53" t="s">
        <v>117</v>
      </c>
      <c r="E29" s="50" t="s">
        <v>100</v>
      </c>
      <c r="F29" s="49" t="s">
        <v>101</v>
      </c>
    </row>
    <row r="30" spans="1:6" s="37" customFormat="1" ht="20.149999999999999" customHeight="1" x14ac:dyDescent="0.35">
      <c r="A30" s="35">
        <f t="shared" si="0"/>
        <v>7</v>
      </c>
      <c r="B30" s="47" t="s">
        <v>4</v>
      </c>
      <c r="C30" s="53" t="s">
        <v>99</v>
      </c>
      <c r="D30" s="53" t="s">
        <v>117</v>
      </c>
      <c r="E30" s="49" t="s">
        <v>102</v>
      </c>
      <c r="F30" s="36"/>
    </row>
    <row r="31" spans="1:6" s="37" customFormat="1" ht="20.149999999999999" customHeight="1" x14ac:dyDescent="0.35">
      <c r="A31" s="35">
        <f t="shared" si="0"/>
        <v>8</v>
      </c>
      <c r="B31" s="47" t="s">
        <v>5</v>
      </c>
      <c r="C31" s="53" t="s">
        <v>99</v>
      </c>
      <c r="D31" s="53" t="s">
        <v>117</v>
      </c>
      <c r="E31" s="49" t="s">
        <v>103</v>
      </c>
      <c r="F31" s="36"/>
    </row>
    <row r="32" spans="1:6" s="37" customFormat="1" ht="29" x14ac:dyDescent="0.35">
      <c r="A32" s="35">
        <f t="shared" si="0"/>
        <v>9</v>
      </c>
      <c r="B32" s="50" t="s">
        <v>104</v>
      </c>
      <c r="C32" s="53" t="s">
        <v>93</v>
      </c>
      <c r="D32" s="53" t="s">
        <v>117</v>
      </c>
      <c r="E32" s="49" t="s">
        <v>105</v>
      </c>
      <c r="F32" s="51" t="s">
        <v>106</v>
      </c>
    </row>
    <row r="33" spans="1:6" s="37" customFormat="1" ht="14.5" x14ac:dyDescent="0.35">
      <c r="A33" s="35">
        <f t="shared" si="0"/>
        <v>10</v>
      </c>
      <c r="B33" s="50" t="s">
        <v>107</v>
      </c>
      <c r="C33" s="53" t="s">
        <v>93</v>
      </c>
      <c r="D33" s="53" t="s">
        <v>117</v>
      </c>
      <c r="E33" s="49" t="s">
        <v>108</v>
      </c>
      <c r="F33" s="49" t="s">
        <v>133</v>
      </c>
    </row>
    <row r="34" spans="1:6" s="37" customFormat="1" ht="20.149999999999999" customHeight="1" x14ac:dyDescent="0.35">
      <c r="A34" s="35">
        <f t="shared" si="0"/>
        <v>11</v>
      </c>
      <c r="B34" s="47" t="s">
        <v>13</v>
      </c>
      <c r="C34" s="53" t="s">
        <v>99</v>
      </c>
      <c r="D34" s="53" t="s">
        <v>117</v>
      </c>
      <c r="E34" s="49" t="s">
        <v>109</v>
      </c>
      <c r="F34" s="38"/>
    </row>
    <row r="35" spans="1:6" s="37" customFormat="1" ht="29" x14ac:dyDescent="0.35">
      <c r="A35" s="35">
        <f t="shared" si="0"/>
        <v>12</v>
      </c>
      <c r="B35" s="47" t="s">
        <v>14</v>
      </c>
      <c r="C35" s="53" t="s">
        <v>99</v>
      </c>
      <c r="D35" s="53" t="s">
        <v>117</v>
      </c>
      <c r="E35" s="51" t="s">
        <v>110</v>
      </c>
      <c r="F35" s="38"/>
    </row>
    <row r="36" spans="1:6" s="37" customFormat="1" ht="65.25" customHeight="1" x14ac:dyDescent="0.35">
      <c r="A36" s="35">
        <f t="shared" si="0"/>
        <v>13</v>
      </c>
      <c r="B36" s="47" t="s">
        <v>66</v>
      </c>
      <c r="C36" s="53" t="s">
        <v>93</v>
      </c>
      <c r="D36" s="53" t="s">
        <v>143</v>
      </c>
      <c r="E36" s="48" t="s">
        <v>111</v>
      </c>
      <c r="F36" s="49" t="s">
        <v>122</v>
      </c>
    </row>
    <row r="37" spans="1:6" s="37" customFormat="1" ht="34.5" customHeight="1" x14ac:dyDescent="0.35">
      <c r="A37" s="35">
        <f t="shared" si="0"/>
        <v>14</v>
      </c>
      <c r="B37" s="47" t="s">
        <v>8</v>
      </c>
      <c r="C37" s="53" t="s">
        <v>99</v>
      </c>
      <c r="D37" s="53" t="s">
        <v>143</v>
      </c>
      <c r="E37" s="51" t="s">
        <v>123</v>
      </c>
      <c r="F37" s="36"/>
    </row>
    <row r="38" spans="1:6" s="37" customFormat="1" ht="35.25" customHeight="1" x14ac:dyDescent="0.35">
      <c r="A38" s="35">
        <f t="shared" si="0"/>
        <v>15</v>
      </c>
      <c r="B38" s="47" t="s">
        <v>9</v>
      </c>
      <c r="C38" s="53" t="s">
        <v>99</v>
      </c>
      <c r="D38" s="53" t="s">
        <v>143</v>
      </c>
      <c r="E38" s="51" t="s">
        <v>124</v>
      </c>
      <c r="F38" s="36"/>
    </row>
    <row r="39" spans="1:6" s="37" customFormat="1" ht="165.75" customHeight="1" x14ac:dyDescent="0.35">
      <c r="A39" s="35">
        <f t="shared" si="0"/>
        <v>16</v>
      </c>
      <c r="B39" s="47" t="s">
        <v>10</v>
      </c>
      <c r="C39" s="53" t="s">
        <v>93</v>
      </c>
      <c r="D39" s="53" t="s">
        <v>117</v>
      </c>
      <c r="E39" s="48" t="s">
        <v>112</v>
      </c>
      <c r="F39" s="49" t="s">
        <v>95</v>
      </c>
    </row>
    <row r="40" spans="1:6" s="37" customFormat="1" ht="18" customHeight="1" x14ac:dyDescent="0.35">
      <c r="A40" s="35">
        <f t="shared" si="0"/>
        <v>17</v>
      </c>
      <c r="B40" s="50" t="s">
        <v>92</v>
      </c>
      <c r="C40" s="53" t="s">
        <v>93</v>
      </c>
      <c r="D40" s="53" t="s">
        <v>143</v>
      </c>
      <c r="E40" s="54" t="s">
        <v>113</v>
      </c>
      <c r="F40" s="36"/>
    </row>
    <row r="41" spans="1:6" s="37" customFormat="1" ht="20.149999999999999" customHeight="1" x14ac:dyDescent="0.35">
      <c r="A41" s="35">
        <f t="shared" si="0"/>
        <v>18</v>
      </c>
      <c r="B41" s="47" t="s">
        <v>53</v>
      </c>
      <c r="C41" s="53" t="s">
        <v>99</v>
      </c>
      <c r="D41" s="53" t="s">
        <v>117</v>
      </c>
      <c r="E41" s="49" t="s">
        <v>114</v>
      </c>
      <c r="F41" s="38"/>
    </row>
    <row r="42" spans="1:6" s="37" customFormat="1" ht="20.149999999999999" customHeight="1" x14ac:dyDescent="0.35">
      <c r="A42" s="35">
        <f t="shared" si="0"/>
        <v>19</v>
      </c>
      <c r="B42" s="47" t="s">
        <v>54</v>
      </c>
      <c r="C42" s="53" t="s">
        <v>99</v>
      </c>
      <c r="D42" s="53" t="s">
        <v>117</v>
      </c>
      <c r="E42" s="49" t="s">
        <v>114</v>
      </c>
      <c r="F42" s="38"/>
    </row>
    <row r="43" spans="1:6" s="37" customFormat="1" ht="20.149999999999999" customHeight="1" x14ac:dyDescent="0.35">
      <c r="A43" s="35">
        <f t="shared" si="0"/>
        <v>20</v>
      </c>
      <c r="B43" s="47" t="s">
        <v>55</v>
      </c>
      <c r="C43" s="53" t="s">
        <v>99</v>
      </c>
      <c r="D43" s="53" t="s">
        <v>117</v>
      </c>
      <c r="E43" s="49" t="s">
        <v>114</v>
      </c>
      <c r="F43" s="38"/>
    </row>
    <row r="44" spans="1:6" s="37" customFormat="1" ht="20.149999999999999" customHeight="1" x14ac:dyDescent="0.35">
      <c r="A44" s="35">
        <f t="shared" si="0"/>
        <v>21</v>
      </c>
      <c r="B44" s="47" t="s">
        <v>56</v>
      </c>
      <c r="C44" s="53" t="s">
        <v>99</v>
      </c>
      <c r="D44" s="53" t="s">
        <v>117</v>
      </c>
      <c r="E44" s="49" t="s">
        <v>114</v>
      </c>
      <c r="F44" s="38"/>
    </row>
    <row r="45" spans="1:6" s="37" customFormat="1" ht="20.149999999999999" customHeight="1" x14ac:dyDescent="0.35">
      <c r="A45" s="35">
        <f t="shared" si="0"/>
        <v>22</v>
      </c>
      <c r="B45" s="47" t="s">
        <v>73</v>
      </c>
      <c r="C45" s="53" t="s">
        <v>99</v>
      </c>
      <c r="D45" s="53" t="s">
        <v>117</v>
      </c>
      <c r="E45" s="49" t="s">
        <v>114</v>
      </c>
      <c r="F45" s="38"/>
    </row>
    <row r="46" spans="1:6" s="37" customFormat="1" ht="20.149999999999999" customHeight="1" x14ac:dyDescent="0.35">
      <c r="A46" s="35">
        <f t="shared" si="0"/>
        <v>23</v>
      </c>
      <c r="B46" s="47" t="s">
        <v>74</v>
      </c>
      <c r="C46" s="53" t="s">
        <v>99</v>
      </c>
      <c r="D46" s="53" t="s">
        <v>117</v>
      </c>
      <c r="E46" s="49" t="s">
        <v>114</v>
      </c>
      <c r="F46" s="38"/>
    </row>
    <row r="47" spans="1:6" s="37" customFormat="1" ht="20.149999999999999" customHeight="1" x14ac:dyDescent="0.35">
      <c r="A47" s="35">
        <f t="shared" si="0"/>
        <v>24</v>
      </c>
      <c r="B47" s="47" t="s">
        <v>75</v>
      </c>
      <c r="C47" s="53" t="s">
        <v>99</v>
      </c>
      <c r="D47" s="53" t="s">
        <v>117</v>
      </c>
      <c r="E47" s="49" t="s">
        <v>114</v>
      </c>
      <c r="F47" s="38"/>
    </row>
    <row r="48" spans="1:6" s="37" customFormat="1" ht="20.149999999999999" customHeight="1" x14ac:dyDescent="0.35">
      <c r="A48" s="35">
        <f t="shared" si="0"/>
        <v>25</v>
      </c>
      <c r="B48" s="47" t="s">
        <v>76</v>
      </c>
      <c r="C48" s="53" t="s">
        <v>99</v>
      </c>
      <c r="D48" s="53" t="s">
        <v>117</v>
      </c>
      <c r="E48" s="49" t="s">
        <v>114</v>
      </c>
      <c r="F48" s="38"/>
    </row>
    <row r="49" spans="1:6" s="37" customFormat="1" ht="20.149999999999999" customHeight="1" x14ac:dyDescent="0.35">
      <c r="A49" s="35">
        <f t="shared" si="0"/>
        <v>26</v>
      </c>
      <c r="B49" s="47" t="s">
        <v>77</v>
      </c>
      <c r="C49" s="53" t="s">
        <v>99</v>
      </c>
      <c r="D49" s="53" t="s">
        <v>117</v>
      </c>
      <c r="E49" s="49" t="s">
        <v>114</v>
      </c>
      <c r="F49" s="38"/>
    </row>
    <row r="50" spans="1:6" s="37" customFormat="1" ht="20.149999999999999" customHeight="1" x14ac:dyDescent="0.35">
      <c r="A50" s="35">
        <f t="shared" si="0"/>
        <v>27</v>
      </c>
      <c r="B50" s="47" t="s">
        <v>59</v>
      </c>
      <c r="C50" s="53" t="s">
        <v>99</v>
      </c>
      <c r="D50" s="53" t="s">
        <v>117</v>
      </c>
      <c r="E50" s="49" t="s">
        <v>114</v>
      </c>
      <c r="F50" s="38"/>
    </row>
    <row r="51" spans="1:6" s="37" customFormat="1" ht="20.149999999999999" customHeight="1" x14ac:dyDescent="0.35">
      <c r="A51" s="35">
        <f t="shared" si="0"/>
        <v>28</v>
      </c>
      <c r="B51" s="47" t="s">
        <v>60</v>
      </c>
      <c r="C51" s="53" t="s">
        <v>99</v>
      </c>
      <c r="D51" s="53" t="s">
        <v>117</v>
      </c>
      <c r="E51" s="49" t="s">
        <v>114</v>
      </c>
      <c r="F51" s="38"/>
    </row>
    <row r="52" spans="1:6" s="37" customFormat="1" ht="20.149999999999999" customHeight="1" x14ac:dyDescent="0.35">
      <c r="A52" s="35">
        <f t="shared" si="0"/>
        <v>29</v>
      </c>
      <c r="B52" s="47" t="s">
        <v>61</v>
      </c>
      <c r="C52" s="53" t="s">
        <v>99</v>
      </c>
      <c r="D52" s="53" t="s">
        <v>117</v>
      </c>
      <c r="E52" s="49" t="s">
        <v>114</v>
      </c>
      <c r="F52" s="38"/>
    </row>
    <row r="53" spans="1:6" s="37" customFormat="1" ht="20.149999999999999" customHeight="1" x14ac:dyDescent="0.35">
      <c r="A53" s="35">
        <f t="shared" si="0"/>
        <v>30</v>
      </c>
      <c r="B53" s="47" t="s">
        <v>62</v>
      </c>
      <c r="C53" s="53" t="s">
        <v>99</v>
      </c>
      <c r="D53" s="53" t="s">
        <v>117</v>
      </c>
      <c r="E53" s="49" t="s">
        <v>114</v>
      </c>
      <c r="F53" s="38"/>
    </row>
    <row r="54" spans="1:6" s="37" customFormat="1" ht="20.149999999999999" customHeight="1" x14ac:dyDescent="0.35">
      <c r="A54" s="35">
        <f t="shared" si="0"/>
        <v>31</v>
      </c>
      <c r="B54" s="47" t="s">
        <v>64</v>
      </c>
      <c r="C54" s="53" t="s">
        <v>99</v>
      </c>
      <c r="D54" s="53" t="s">
        <v>117</v>
      </c>
      <c r="E54" s="49" t="s">
        <v>114</v>
      </c>
      <c r="F54" s="38"/>
    </row>
    <row r="55" spans="1:6" s="37" customFormat="1" ht="20.149999999999999" customHeight="1" x14ac:dyDescent="0.35">
      <c r="A55" s="35">
        <f t="shared" si="0"/>
        <v>32</v>
      </c>
      <c r="B55" s="47" t="s">
        <v>63</v>
      </c>
      <c r="C55" s="53" t="s">
        <v>99</v>
      </c>
      <c r="D55" s="53" t="s">
        <v>117</v>
      </c>
      <c r="E55" s="49" t="s">
        <v>114</v>
      </c>
      <c r="F55" s="38"/>
    </row>
    <row r="56" spans="1:6" s="37" customFormat="1" ht="20.149999999999999" customHeight="1" x14ac:dyDescent="0.35">
      <c r="A56" s="35">
        <f t="shared" si="0"/>
        <v>33</v>
      </c>
      <c r="B56" s="47" t="s">
        <v>1</v>
      </c>
      <c r="C56" s="53" t="s">
        <v>99</v>
      </c>
      <c r="D56" s="53" t="s">
        <v>117</v>
      </c>
      <c r="E56" s="49" t="s">
        <v>115</v>
      </c>
      <c r="F56" s="38"/>
    </row>
    <row r="57" spans="1:6" s="37" customFormat="1" ht="20.149999999999999" customHeight="1" x14ac:dyDescent="0.35">
      <c r="A57" s="35">
        <f t="shared" si="0"/>
        <v>34</v>
      </c>
      <c r="B57" s="47" t="s">
        <v>11</v>
      </c>
      <c r="C57" s="53" t="s">
        <v>99</v>
      </c>
      <c r="D57" s="53" t="s">
        <v>117</v>
      </c>
      <c r="E57" s="55" t="s">
        <v>116</v>
      </c>
      <c r="F57" s="49"/>
    </row>
    <row r="58" spans="1:6" s="37" customFormat="1" ht="14.5" x14ac:dyDescent="0.35">
      <c r="A58" s="35">
        <f t="shared" si="0"/>
        <v>35</v>
      </c>
      <c r="B58" s="50" t="s">
        <v>138</v>
      </c>
      <c r="C58" s="53" t="s">
        <v>93</v>
      </c>
      <c r="D58" s="53" t="s">
        <v>143</v>
      </c>
      <c r="E58" s="55" t="s">
        <v>125</v>
      </c>
      <c r="F58" s="49"/>
    </row>
    <row r="59" spans="1:6" s="37" customFormat="1" ht="20.149999999999999" customHeight="1" x14ac:dyDescent="0.35">
      <c r="A59" s="35">
        <f t="shared" si="0"/>
        <v>36</v>
      </c>
      <c r="B59" s="47" t="s">
        <v>11</v>
      </c>
      <c r="C59" s="53" t="s">
        <v>99</v>
      </c>
      <c r="D59" s="53" t="s">
        <v>143</v>
      </c>
      <c r="E59" s="55" t="s">
        <v>118</v>
      </c>
      <c r="F59" s="38"/>
    </row>
    <row r="60" spans="1:6" s="37" customFormat="1" ht="29" x14ac:dyDescent="0.35">
      <c r="A60" s="35">
        <f t="shared" si="0"/>
        <v>37</v>
      </c>
      <c r="B60" s="50" t="s">
        <v>139</v>
      </c>
      <c r="C60" s="53" t="s">
        <v>93</v>
      </c>
      <c r="D60" s="53" t="s">
        <v>117</v>
      </c>
      <c r="E60" s="55" t="s">
        <v>126</v>
      </c>
      <c r="F60" s="36"/>
    </row>
    <row r="61" spans="1:6" s="37" customFormat="1" ht="20.149999999999999" customHeight="1" x14ac:dyDescent="0.35">
      <c r="A61" s="35">
        <f t="shared" si="0"/>
        <v>38</v>
      </c>
      <c r="B61" s="47" t="s">
        <v>11</v>
      </c>
      <c r="C61" s="53" t="s">
        <v>99</v>
      </c>
      <c r="D61" s="53" t="s">
        <v>117</v>
      </c>
      <c r="E61" s="55" t="s">
        <v>119</v>
      </c>
      <c r="F61" s="49"/>
    </row>
    <row r="62" spans="1:6" ht="27" customHeight="1" x14ac:dyDescent="0.35"/>
    <row r="63" spans="1:6" ht="20.149999999999999" customHeight="1" x14ac:dyDescent="0.35">
      <c r="A63" s="90" t="s">
        <v>168</v>
      </c>
    </row>
    <row r="64" spans="1:6" ht="20.149999999999999" customHeight="1" x14ac:dyDescent="0.35">
      <c r="A64" s="90"/>
    </row>
    <row r="65" spans="1:6" ht="20.149999999999999" customHeight="1" x14ac:dyDescent="0.35">
      <c r="A65" s="44" t="s">
        <v>69</v>
      </c>
      <c r="B65" s="44" t="s">
        <v>90</v>
      </c>
      <c r="C65" s="44" t="s">
        <v>132</v>
      </c>
      <c r="D65" s="45" t="s">
        <v>173</v>
      </c>
      <c r="E65" s="44" t="s">
        <v>91</v>
      </c>
      <c r="F65" s="44" t="s">
        <v>92</v>
      </c>
    </row>
    <row r="66" spans="1:6" ht="20.149999999999999" customHeight="1" x14ac:dyDescent="0.35">
      <c r="A66" s="46">
        <v>1</v>
      </c>
      <c r="B66" s="47" t="s">
        <v>0</v>
      </c>
      <c r="C66" s="53" t="s">
        <v>99</v>
      </c>
      <c r="D66" s="48" t="s">
        <v>117</v>
      </c>
      <c r="E66" s="54" t="s">
        <v>114</v>
      </c>
      <c r="F66" s="49" t="s">
        <v>172</v>
      </c>
    </row>
    <row r="67" spans="1:6" ht="20.149999999999999" customHeight="1" x14ac:dyDescent="0.35">
      <c r="A67" s="46">
        <v>2</v>
      </c>
      <c r="B67" s="47" t="s">
        <v>1</v>
      </c>
      <c r="C67" s="53" t="s">
        <v>99</v>
      </c>
      <c r="D67" s="48" t="s">
        <v>117</v>
      </c>
      <c r="E67" s="50" t="s">
        <v>114</v>
      </c>
      <c r="F67" s="36" t="s">
        <v>172</v>
      </c>
    </row>
    <row r="68" spans="1:6" ht="20.149999999999999" customHeight="1" x14ac:dyDescent="0.35">
      <c r="A68" s="35">
        <v>3</v>
      </c>
      <c r="B68" s="47" t="s">
        <v>2</v>
      </c>
      <c r="C68" s="53" t="s">
        <v>99</v>
      </c>
      <c r="D68" s="48" t="s">
        <v>117</v>
      </c>
      <c r="E68" s="50" t="s">
        <v>114</v>
      </c>
      <c r="F68" s="51" t="s">
        <v>172</v>
      </c>
    </row>
    <row r="69" spans="1:6" ht="20.149999999999999" customHeight="1" x14ac:dyDescent="0.35">
      <c r="A69" s="35">
        <v>4</v>
      </c>
      <c r="B69" s="47" t="s">
        <v>3</v>
      </c>
      <c r="C69" s="53" t="s">
        <v>99</v>
      </c>
      <c r="D69" s="48" t="s">
        <v>117</v>
      </c>
      <c r="E69" s="50" t="s">
        <v>114</v>
      </c>
      <c r="F69" s="49" t="s">
        <v>172</v>
      </c>
    </row>
    <row r="70" spans="1:6" ht="20.149999999999999" customHeight="1" x14ac:dyDescent="0.35">
      <c r="A70" s="35">
        <v>5</v>
      </c>
      <c r="B70" s="47" t="s">
        <v>4</v>
      </c>
      <c r="C70" s="53" t="s">
        <v>99</v>
      </c>
      <c r="D70" s="48" t="s">
        <v>117</v>
      </c>
      <c r="E70" s="50" t="s">
        <v>114</v>
      </c>
      <c r="F70" s="36" t="s">
        <v>172</v>
      </c>
    </row>
    <row r="71" spans="1:6" ht="20.149999999999999" customHeight="1" x14ac:dyDescent="0.35">
      <c r="A71" s="35">
        <v>6</v>
      </c>
      <c r="B71" s="47" t="s">
        <v>5</v>
      </c>
      <c r="C71" s="53" t="s">
        <v>99</v>
      </c>
      <c r="D71" s="48" t="s">
        <v>117</v>
      </c>
      <c r="E71" s="50" t="s">
        <v>114</v>
      </c>
      <c r="F71" s="36" t="s">
        <v>172</v>
      </c>
    </row>
    <row r="72" spans="1:6" ht="20.149999999999999" customHeight="1" x14ac:dyDescent="0.35">
      <c r="A72" s="35">
        <v>7</v>
      </c>
      <c r="B72" s="50" t="s">
        <v>104</v>
      </c>
      <c r="C72" s="53" t="s">
        <v>99</v>
      </c>
      <c r="D72" s="48" t="s">
        <v>117</v>
      </c>
      <c r="E72" s="50" t="s">
        <v>114</v>
      </c>
      <c r="F72" s="51" t="s">
        <v>172</v>
      </c>
    </row>
    <row r="73" spans="1:6" ht="20.149999999999999" customHeight="1" x14ac:dyDescent="0.35">
      <c r="A73" s="35">
        <v>8</v>
      </c>
      <c r="B73" s="50" t="s">
        <v>107</v>
      </c>
      <c r="C73" s="53" t="s">
        <v>99</v>
      </c>
      <c r="D73" s="48" t="s">
        <v>117</v>
      </c>
      <c r="E73" s="50" t="s">
        <v>114</v>
      </c>
      <c r="F73" s="49" t="s">
        <v>172</v>
      </c>
    </row>
    <row r="74" spans="1:6" ht="78.75" customHeight="1" x14ac:dyDescent="0.35">
      <c r="A74" s="35">
        <v>9</v>
      </c>
      <c r="B74" s="50" t="s">
        <v>169</v>
      </c>
      <c r="C74" s="53" t="s">
        <v>93</v>
      </c>
      <c r="D74" s="48" t="s">
        <v>117</v>
      </c>
      <c r="E74" s="91" t="s">
        <v>98</v>
      </c>
      <c r="F74" s="36" t="s">
        <v>95</v>
      </c>
    </row>
    <row r="75" spans="1:6" ht="20.149999999999999" customHeight="1" x14ac:dyDescent="0.35">
      <c r="A75" s="35">
        <v>10</v>
      </c>
      <c r="B75" s="47" t="s">
        <v>14</v>
      </c>
      <c r="C75" s="53" t="s">
        <v>99</v>
      </c>
      <c r="D75" s="48" t="s">
        <v>117</v>
      </c>
      <c r="E75" s="55" t="s">
        <v>114</v>
      </c>
      <c r="F75" s="38"/>
    </row>
    <row r="76" spans="1:6" ht="20.149999999999999" customHeight="1" x14ac:dyDescent="0.35">
      <c r="A76" s="35">
        <v>11</v>
      </c>
      <c r="B76" s="50" t="s">
        <v>170</v>
      </c>
      <c r="C76" s="53" t="s">
        <v>99</v>
      </c>
      <c r="D76" s="48" t="s">
        <v>117</v>
      </c>
      <c r="E76" s="54" t="s">
        <v>114</v>
      </c>
      <c r="F76" s="49"/>
    </row>
    <row r="77" spans="1:6" ht="20.149999999999999" customHeight="1" x14ac:dyDescent="0.35">
      <c r="A77" s="35">
        <v>12</v>
      </c>
      <c r="B77" s="50" t="s">
        <v>171</v>
      </c>
      <c r="C77" s="53" t="s">
        <v>99</v>
      </c>
      <c r="D77" s="48" t="s">
        <v>117</v>
      </c>
      <c r="E77" s="55" t="s">
        <v>114</v>
      </c>
      <c r="F77" s="36"/>
    </row>
    <row r="78" spans="1:6" ht="20.149999999999999" customHeight="1" x14ac:dyDescent="0.35">
      <c r="A78" s="35">
        <v>13</v>
      </c>
      <c r="B78" s="50" t="s">
        <v>92</v>
      </c>
      <c r="C78" s="53" t="s">
        <v>99</v>
      </c>
      <c r="D78" s="48" t="s">
        <v>117</v>
      </c>
      <c r="E78" s="54" t="s">
        <v>114</v>
      </c>
      <c r="F78" s="36"/>
    </row>
    <row r="79" spans="1:6" ht="20.149999999999999" customHeight="1" x14ac:dyDescent="0.35">
      <c r="A79" s="35">
        <v>14</v>
      </c>
      <c r="B79" s="47" t="s">
        <v>76</v>
      </c>
      <c r="C79" s="53" t="s">
        <v>99</v>
      </c>
      <c r="D79" s="48" t="s">
        <v>117</v>
      </c>
      <c r="E79" s="50" t="s">
        <v>114</v>
      </c>
      <c r="F79" s="38"/>
    </row>
    <row r="80" spans="1:6" ht="20.149999999999999" customHeight="1" x14ac:dyDescent="0.35">
      <c r="A80" s="35">
        <v>15</v>
      </c>
      <c r="B80" s="47" t="s">
        <v>77</v>
      </c>
      <c r="C80" s="53" t="s">
        <v>99</v>
      </c>
      <c r="D80" s="48" t="s">
        <v>117</v>
      </c>
      <c r="E80" s="50" t="s">
        <v>114</v>
      </c>
      <c r="F80" s="38"/>
    </row>
    <row r="81" spans="1:6" ht="20.149999999999999" customHeight="1" x14ac:dyDescent="0.35">
      <c r="A81" s="35">
        <v>16</v>
      </c>
      <c r="B81" s="47" t="s">
        <v>59</v>
      </c>
      <c r="C81" s="53" t="s">
        <v>99</v>
      </c>
      <c r="D81" s="48" t="s">
        <v>117</v>
      </c>
      <c r="E81" s="50" t="s">
        <v>114</v>
      </c>
      <c r="F81" s="38"/>
    </row>
    <row r="82" spans="1:6" ht="20.149999999999999" customHeight="1" x14ac:dyDescent="0.35">
      <c r="A82" s="35">
        <v>17</v>
      </c>
      <c r="B82" s="47" t="s">
        <v>60</v>
      </c>
      <c r="C82" s="53" t="s">
        <v>99</v>
      </c>
      <c r="D82" s="48" t="s">
        <v>117</v>
      </c>
      <c r="E82" s="50" t="s">
        <v>114</v>
      </c>
      <c r="F82" s="38"/>
    </row>
    <row r="83" spans="1:6" ht="20.149999999999999" customHeight="1" x14ac:dyDescent="0.35">
      <c r="A83" s="35">
        <v>18</v>
      </c>
      <c r="B83" s="47" t="s">
        <v>1</v>
      </c>
      <c r="C83" s="53" t="s">
        <v>99</v>
      </c>
      <c r="D83" s="48" t="s">
        <v>117</v>
      </c>
      <c r="E83" s="49" t="s">
        <v>115</v>
      </c>
      <c r="F83" s="36" t="s">
        <v>172</v>
      </c>
    </row>
    <row r="84" spans="1:6" ht="19.5" customHeight="1" x14ac:dyDescent="0.35">
      <c r="A84" s="35">
        <v>19</v>
      </c>
      <c r="B84" s="47" t="s">
        <v>11</v>
      </c>
      <c r="C84" s="53" t="s">
        <v>99</v>
      </c>
      <c r="D84" s="48" t="s">
        <v>143</v>
      </c>
      <c r="E84" s="55" t="s">
        <v>116</v>
      </c>
      <c r="F84" s="49"/>
    </row>
    <row r="85" spans="1:6" ht="19.5" customHeight="1" x14ac:dyDescent="0.35">
      <c r="A85" s="35">
        <v>20</v>
      </c>
      <c r="B85" s="50" t="s">
        <v>138</v>
      </c>
      <c r="C85" s="53" t="s">
        <v>93</v>
      </c>
      <c r="D85" s="48" t="s">
        <v>117</v>
      </c>
      <c r="E85" s="55" t="s">
        <v>125</v>
      </c>
      <c r="F85" s="49"/>
    </row>
    <row r="86" spans="1:6" ht="20.149999999999999" customHeight="1" x14ac:dyDescent="0.35">
      <c r="A86" s="35">
        <v>21</v>
      </c>
      <c r="B86" s="47" t="s">
        <v>11</v>
      </c>
      <c r="C86" s="53" t="s">
        <v>99</v>
      </c>
      <c r="D86" s="48" t="s">
        <v>143</v>
      </c>
      <c r="E86" s="55" t="s">
        <v>118</v>
      </c>
      <c r="F86" s="38"/>
    </row>
    <row r="87" spans="1:6" ht="35.25" customHeight="1" x14ac:dyDescent="0.35">
      <c r="A87" s="35">
        <v>22</v>
      </c>
      <c r="B87" s="50" t="s">
        <v>139</v>
      </c>
      <c r="C87" s="53" t="s">
        <v>93</v>
      </c>
      <c r="D87" s="48" t="s">
        <v>117</v>
      </c>
      <c r="E87" s="55" t="s">
        <v>126</v>
      </c>
      <c r="F87" s="36"/>
    </row>
    <row r="88" spans="1:6" ht="20.149999999999999" customHeight="1" x14ac:dyDescent="0.35">
      <c r="A88" s="35">
        <v>23</v>
      </c>
      <c r="B88" s="47" t="s">
        <v>11</v>
      </c>
      <c r="C88" s="53" t="s">
        <v>99</v>
      </c>
      <c r="D88" s="48" t="s">
        <v>117</v>
      </c>
      <c r="E88" s="55" t="s">
        <v>119</v>
      </c>
      <c r="F88" s="49"/>
    </row>
  </sheetData>
  <sheetProtection algorithmName="SHA-512" hashValue="Y14S1ySrC4wX8eYG+Zrul9veQ1xINLqcXKocxjwl1TdpyCf06ghjIq9aHHfdMoExYuD3Hl0Uw7Aew/lbCrcwtw==" saltValue="jAMBwXJ5DwEsYSc7bF4RTA==" spinCount="100000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Group Box 1">
              <controlPr defaultSize="0" autoFill="0" autoPict="0">
                <anchor moveWithCells="1">
                  <from>
                    <xdr:col>4</xdr:col>
                    <xdr:colOff>50800</xdr:colOff>
                    <xdr:row>27</xdr:row>
                    <xdr:rowOff>69850</xdr:rowOff>
                  </from>
                  <to>
                    <xdr:col>4</xdr:col>
                    <xdr:colOff>2946400</xdr:colOff>
                    <xdr:row>27</xdr:row>
                    <xdr:rowOff>927100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Group Box 2">
              <controlPr defaultSize="0" autoFill="0" autoPict="0">
                <anchor moveWithCells="1">
                  <from>
                    <xdr:col>4</xdr:col>
                    <xdr:colOff>76200</xdr:colOff>
                    <xdr:row>23</xdr:row>
                    <xdr:rowOff>50800</xdr:rowOff>
                  </from>
                  <to>
                    <xdr:col>4</xdr:col>
                    <xdr:colOff>2927350</xdr:colOff>
                    <xdr:row>23</xdr:row>
                    <xdr:rowOff>1676400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Group Box 3">
              <controlPr defaultSize="0" autoFill="0" autoPict="0">
                <anchor moveWithCells="1">
                  <from>
                    <xdr:col>4</xdr:col>
                    <xdr:colOff>76200</xdr:colOff>
                    <xdr:row>35</xdr:row>
                    <xdr:rowOff>50800</xdr:rowOff>
                  </from>
                  <to>
                    <xdr:col>4</xdr:col>
                    <xdr:colOff>2927350</xdr:colOff>
                    <xdr:row>35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Group Box 4">
              <controlPr defaultSize="0" autoFill="0" autoPict="0">
                <anchor moveWithCells="1">
                  <from>
                    <xdr:col>4</xdr:col>
                    <xdr:colOff>76200</xdr:colOff>
                    <xdr:row>38</xdr:row>
                    <xdr:rowOff>152400</xdr:rowOff>
                  </from>
                  <to>
                    <xdr:col>4</xdr:col>
                    <xdr:colOff>3105150</xdr:colOff>
                    <xdr:row>38</xdr:row>
                    <xdr:rowOff>1879600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Group Box 5">
              <controlPr defaultSize="0" autoFill="0" autoPict="0">
                <anchor moveWithCells="1">
                  <from>
                    <xdr:col>4</xdr:col>
                    <xdr:colOff>228600</xdr:colOff>
                    <xdr:row>73</xdr:row>
                    <xdr:rowOff>146050</xdr:rowOff>
                  </from>
                  <to>
                    <xdr:col>4</xdr:col>
                    <xdr:colOff>2965450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Group Box 6">
              <controlPr defaultSize="0" autoFill="0" autoPict="0">
                <anchor moveWithCells="1">
                  <from>
                    <xdr:col>4</xdr:col>
                    <xdr:colOff>50800</xdr:colOff>
                    <xdr:row>26</xdr:row>
                    <xdr:rowOff>69850</xdr:rowOff>
                  </from>
                  <to>
                    <xdr:col>4</xdr:col>
                    <xdr:colOff>2946400</xdr:colOff>
                    <xdr:row>26</xdr:row>
                    <xdr:rowOff>927100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8:A48"/>
  <sheetViews>
    <sheetView showGridLines="0" tabSelected="1" workbookViewId="0"/>
  </sheetViews>
  <sheetFormatPr defaultRowHeight="14.5" x14ac:dyDescent="0.35"/>
  <sheetData>
    <row r="8" spans="1:1" x14ac:dyDescent="0.35">
      <c r="A8" s="41" t="s">
        <v>140</v>
      </c>
    </row>
    <row r="23" spans="1:1" x14ac:dyDescent="0.35">
      <c r="A23" s="41" t="s">
        <v>141</v>
      </c>
    </row>
    <row r="48" spans="1:1" x14ac:dyDescent="0.35">
      <c r="A48" s="41" t="s">
        <v>142</v>
      </c>
    </row>
  </sheetData>
  <sheetProtection password="ADC2" sheet="1" objects="1" scenario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W90"/>
  <sheetViews>
    <sheetView showGridLines="0" showZeros="0" view="pageLayout" topLeftCell="A4" zoomScale="84" zoomScaleNormal="85" zoomScalePageLayoutView="84" workbookViewId="0">
      <selection activeCell="H13" sqref="H13:H14"/>
    </sheetView>
  </sheetViews>
  <sheetFormatPr defaultColWidth="9.1796875" defaultRowHeight="14.5" x14ac:dyDescent="0.35"/>
  <cols>
    <col min="1" max="1" width="5.54296875" style="10" customWidth="1"/>
    <col min="2" max="2" width="11" style="10" customWidth="1"/>
    <col min="3" max="3" width="11.81640625" style="10" customWidth="1"/>
    <col min="4" max="5" width="12.1796875" style="10" customWidth="1"/>
    <col min="6" max="7" width="8.81640625" style="10" customWidth="1"/>
    <col min="8" max="8" width="9.7265625" style="10" customWidth="1"/>
    <col min="9" max="9" width="8.81640625" style="10" customWidth="1"/>
    <col min="10" max="10" width="9.54296875" style="10" customWidth="1"/>
    <col min="11" max="11" width="10.1796875" style="10" customWidth="1"/>
    <col min="12" max="13" width="8.81640625" style="10" customWidth="1"/>
    <col min="14" max="15" width="9.7265625" style="10" customWidth="1"/>
    <col min="16" max="16" width="7.26953125" style="10" customWidth="1"/>
    <col min="17" max="17" width="8.1796875" style="10" customWidth="1"/>
    <col min="18" max="18" width="9.7265625" style="10" customWidth="1"/>
    <col min="19" max="20" width="9.1796875" style="10"/>
    <col min="21" max="21" width="9.1796875" style="69"/>
    <col min="22" max="16384" width="9.1796875" style="10"/>
  </cols>
  <sheetData>
    <row r="1" spans="1:21" x14ac:dyDescent="0.35">
      <c r="H1" s="119"/>
    </row>
    <row r="2" spans="1:21" ht="15" customHeight="1" x14ac:dyDescent="0.35">
      <c r="B2" s="122" t="s">
        <v>0</v>
      </c>
      <c r="C2" s="122"/>
      <c r="D2" s="194"/>
      <c r="E2" s="194"/>
      <c r="F2" s="194"/>
      <c r="G2" s="194"/>
      <c r="H2" s="194"/>
      <c r="I2" s="194"/>
      <c r="J2" s="194"/>
      <c r="M2" s="11"/>
      <c r="N2" s="11"/>
      <c r="O2" s="11"/>
      <c r="R2" s="12"/>
    </row>
    <row r="3" spans="1:21" ht="15" customHeight="1" x14ac:dyDescent="0.35">
      <c r="B3" s="122" t="s">
        <v>1</v>
      </c>
      <c r="C3" s="122"/>
      <c r="D3" s="194"/>
      <c r="E3" s="194"/>
      <c r="F3" s="194"/>
      <c r="G3" s="194"/>
      <c r="H3" s="194"/>
      <c r="I3" s="194"/>
      <c r="J3" s="194"/>
      <c r="L3" s="13"/>
      <c r="R3" s="12"/>
    </row>
    <row r="4" spans="1:21" ht="15" customHeight="1" x14ac:dyDescent="0.35">
      <c r="B4" s="122" t="s">
        <v>2</v>
      </c>
      <c r="C4" s="122"/>
      <c r="D4" s="194"/>
      <c r="E4" s="194"/>
      <c r="F4" s="194"/>
      <c r="G4" s="194"/>
      <c r="H4" s="194"/>
      <c r="I4" s="194"/>
      <c r="J4" s="194"/>
      <c r="K4" s="14"/>
      <c r="L4" s="14"/>
      <c r="M4" s="14"/>
      <c r="R4" s="12"/>
      <c r="U4" s="69" t="s">
        <v>181</v>
      </c>
    </row>
    <row r="5" spans="1:21" ht="15" customHeight="1" x14ac:dyDescent="0.35">
      <c r="B5" s="201" t="s">
        <v>180</v>
      </c>
      <c r="C5" s="202"/>
      <c r="D5" s="196"/>
      <c r="E5" s="197"/>
      <c r="F5" s="197"/>
      <c r="G5" s="197"/>
      <c r="H5" s="197"/>
      <c r="I5" s="197"/>
      <c r="J5" s="198"/>
      <c r="K5" s="14"/>
      <c r="L5" s="14"/>
      <c r="M5" s="14"/>
      <c r="R5" s="12"/>
      <c r="U5" s="69" t="s">
        <v>182</v>
      </c>
    </row>
    <row r="6" spans="1:21" ht="15" customHeight="1" x14ac:dyDescent="0.35">
      <c r="B6" s="122" t="s">
        <v>65</v>
      </c>
      <c r="C6" s="122"/>
      <c r="D6" s="196"/>
      <c r="E6" s="197"/>
      <c r="F6" s="197"/>
      <c r="G6" s="197"/>
      <c r="H6" s="197"/>
      <c r="I6" s="197"/>
      <c r="J6" s="198"/>
      <c r="L6" s="11"/>
      <c r="M6" s="11"/>
      <c r="R6" s="12"/>
      <c r="U6" s="69" t="s">
        <v>183</v>
      </c>
    </row>
    <row r="7" spans="1:21" ht="15" customHeight="1" x14ac:dyDescent="0.35">
      <c r="B7" s="122" t="s">
        <v>3</v>
      </c>
      <c r="C7" s="122"/>
      <c r="D7" s="195">
        <v>44743</v>
      </c>
      <c r="E7" s="195"/>
      <c r="F7" s="195"/>
      <c r="G7" s="195"/>
      <c r="H7" s="195"/>
      <c r="I7" s="195"/>
      <c r="J7" s="195"/>
      <c r="K7" s="11"/>
      <c r="L7" s="11"/>
      <c r="R7" s="12"/>
    </row>
    <row r="8" spans="1:21" ht="15.75" customHeight="1" x14ac:dyDescent="0.35">
      <c r="B8" s="122" t="s">
        <v>220</v>
      </c>
      <c r="C8" s="122"/>
      <c r="D8" s="148"/>
      <c r="E8" s="149"/>
      <c r="F8" s="149"/>
      <c r="G8" s="149"/>
      <c r="H8" s="149"/>
      <c r="I8" s="149"/>
      <c r="J8" s="150"/>
      <c r="K8" s="141"/>
      <c r="L8" s="141"/>
      <c r="M8" s="141"/>
      <c r="N8" s="56"/>
      <c r="O8" s="56"/>
      <c r="R8" s="12"/>
    </row>
    <row r="9" spans="1:21" ht="24" customHeight="1" x14ac:dyDescent="0.35">
      <c r="B9" s="15"/>
      <c r="C9" s="15"/>
      <c r="D9" s="16"/>
      <c r="E9" s="16"/>
      <c r="F9" s="16"/>
      <c r="G9" s="16"/>
      <c r="H9" s="16"/>
      <c r="I9" s="16"/>
      <c r="J9" s="16"/>
      <c r="K9" s="142"/>
      <c r="L9" s="142"/>
      <c r="M9" s="142"/>
      <c r="N9" s="56"/>
      <c r="O9" s="56"/>
      <c r="P9" s="17"/>
      <c r="Q9" s="12"/>
      <c r="R9" s="12"/>
    </row>
    <row r="10" spans="1:21" s="65" customFormat="1" ht="62" x14ac:dyDescent="0.45">
      <c r="B10" s="63" t="s">
        <v>4</v>
      </c>
      <c r="C10" s="60" t="s">
        <v>5</v>
      </c>
      <c r="D10" s="63" t="s">
        <v>6</v>
      </c>
      <c r="E10" s="63" t="s">
        <v>7</v>
      </c>
      <c r="F10" s="63" t="s">
        <v>13</v>
      </c>
      <c r="G10" s="63" t="s">
        <v>66</v>
      </c>
      <c r="H10" s="63" t="s">
        <v>8</v>
      </c>
      <c r="I10" s="63" t="s">
        <v>9</v>
      </c>
      <c r="J10" s="145" t="s">
        <v>10</v>
      </c>
      <c r="K10" s="146"/>
      <c r="L10" s="146"/>
      <c r="M10" s="147"/>
      <c r="N10" s="199" t="s">
        <v>15</v>
      </c>
      <c r="O10" s="199"/>
      <c r="P10" s="199"/>
      <c r="Q10" s="199"/>
      <c r="R10" s="199"/>
      <c r="S10" s="68"/>
      <c r="U10" s="114"/>
    </row>
    <row r="11" spans="1:21" s="65" customFormat="1" ht="18" customHeight="1" x14ac:dyDescent="0.45">
      <c r="A11" s="66"/>
      <c r="B11" s="154" t="str">
        <f>CHOOSE(WEEKDAY(C11),"Sunday","Monday","Tuesday","Wednesday","Thursday","Friday","Saturday")</f>
        <v>Friday</v>
      </c>
      <c r="C11" s="133">
        <f>D7</f>
        <v>44743</v>
      </c>
      <c r="D11" s="39"/>
      <c r="E11" s="39"/>
      <c r="F11" s="131">
        <f>IFERROR(IF(D11=0,0,IF(OR(C11=List!$I$4,C11=List!$I$5,C11=List!$I$11,C11=List!$I$6,C11=List!$I$12,C11=List!$I$7,C11=List!$I$13,C11=List!$I$8,C11=List!$I$14,C11=List!$I$9,C11=List!$I$15,C11=List!$I$10,C11=List!$I$16,C11=List!$I$17,C11=List!$I$18,B11="Saturday",B11="Sunday"),
IF($D$2="","",
IF(AND(J11="",D11&gt;0,E11&gt;0),"",
IF(AND(D12&gt;0,E12&gt;0,J12=""),"",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IF(AND(Sheet2!E4&gt;0,Sheet2!E4&lt;=4),4,
IF(AND(Sheet2!E4&gt;4,Sheet2!E4&lt;=8),8,
IF(AND(Sheet2!E4&gt;8,Sheet2!E4&lt;=12),12,
IF(AND(Sheet2!E4&gt;12,Sheet2!E4&lt;=16),16,
IF(AND(Sheet2!E4&gt;16,Sheet2!E4&lt;=20),20,
IF(AND(Sheet2!E4&gt;20,Sheet2!E4&lt;=24),24,"")))))),
IF($D$2="CIFOR",
IF(AND(Sheet2!E4&gt;0,Sheet2!E4&lt;=9),9,
IF(AND(Sheet2!E4&gt;9,Sheet2!E4&lt;=18),18,
IF(AND(Sheet2!E4&gt;18,Sheet2!E4&lt;=24),24,""))),
IF(OR($D$2="Indika"),
IF(AND(Sheet2!E4&gt;0,Sheet2!E4&lt;=24),24,""),
IF(OR($D$2="BCA",$D$2="Bank Permata",$D$2="AIA",$D$2="FIF"),
IF(AND(Sheet2!E4&gt;0,Sheet2!E4&lt;=8),8,
IF(AND(Sheet2!E4&gt;8,Sheet2!E4&lt;=16),16,
IF(AND(Sheet2!E4&gt;16,Sheet2!E4&lt;=24),24,""))),
IF(AND(Sheet2!E4&gt;0,Sheet2!E4&lt;=1),1,
IF(AND(Sheet2!E4&gt;1,Sheet2!E4&lt;=2),2,
IF(AND(Sheet2!E4&gt;2,Sheet2!E4&lt;=3),3,
IF(AND(Sheet2!E4&gt;3,Sheet2!E4&lt;=4),4,
IF(AND(Sheet2!E4&gt;4,Sheet2!E4&lt;=5),5,
IF(AND(Sheet2!E4&gt;5,Sheet2!E4&lt;=6),6,
IF(AND(Sheet2!E4&gt;6,Sheet2!E4&lt;=7),7,
IF(AND(Sheet2!E4&gt;7,Sheet2!E4&lt;=8),8,
IF(AND(Sheet2!E4&gt;8,Sheet2!E4&lt;=9),9,
IF(AND(Sheet2!E4&gt;9,Sheet2!E4&lt;=10),10,
IF(AND(Sheet2!E4&gt;10,Sheet2!E4&lt;=11),11,
IF(AND(Sheet2!E4&gt;11,Sheet2!E4&lt;=12),12,
IF(AND(Sheet2!E4&gt;12,Sheet2!E4&lt;=13),13,
IF(AND(Sheet2!E4&gt;13,Sheet2!E4&lt;=14),14,
IF(AND(Sheet2!E4&gt;14,Sheet2!E4&lt;=15),15,
IF(AND(Sheet2!E4&gt;15,Sheet2!E4&lt;=16),16,
IF(AND(Sheet2!E4&gt;16,Sheet2!E4&lt;=17),17,
IF(AND(Sheet2!E4&gt;17,Sheet2!E4&lt;=18),18,
IF(AND(Sheet2!E4&gt;18,Sheet2!E4&lt;=19),19,
IF(AND(Sheet2!E4&gt;19,Sheet2!E4&lt;=20),20,
IF(AND(Sheet2!E4&gt;20,Sheet2!E4&lt;=21),21,
IF(AND(Sheet2!E4&gt;21,Sheet2!E4&lt;=22),22,
IF(AND(Sheet2!E4&gt;22,Sheet2!E4&lt;=23),23,
IF(AND(Sheet2!E4&gt;23,Sheet2!E4&lt;=24),24,""))))))))))))))))))))))))))))))),
IF(OR(AND(B11="Monday"),
AND(B11="Tuesday"),
AND(B11="Wednesday"),
AND(B11="Thursday"),
AND(B11="Friday")),
IF(SUM(IF(OR(J11="",J11="Leave",J11="sick"),0,IF(MINUTE(E11-D11)&gt;29,HOUR(E11-D11)+1,HOUR(E11-D11))),IF(AND(D12&gt;0,D12&lt;=E11),0,IF(OR(D12=0,J12="",J12="Leave",J12="sick"),0,IF(MINUTE(E12-D12)&gt;29,HOUR(E12-D12)+1,HOUR(E12-D12)))))&gt;4,
SUM(IF(OR(J11="",J11="Leave",J11="sick"),0,IF(MINUTE(E11-D11)&gt;29,HOUR(E11-D11)+1,HOUR(E11-D11))),IF(AND(D12&gt;0,D12&lt;=E11),0,IF(OR(D12=0,J12="",J12="Leave",J12="sick"),0,IF(MINUTE(E12-D12)&gt;29,HOUR(E12-D12)+1,HOUR(E12-D12)))))-1,
SUM(IF(OR(J11="",J11="Leave",J11="sick"),0,IF(MINUTE(E11-D11)&gt;29,HOUR(E11-D11)+1,HOUR(E11-D11))),IF(AND(D12&gt;0,D12&lt;=E11),0,IF(OR(D12=0,J12="",J12="Leave",J12="sick"),0,IF(MINUTE(E12-D12)&gt;29,HOUR(E12-D12)+1,HOUR(E12-D12)))))),""))),"")</f>
        <v>0</v>
      </c>
      <c r="G11" s="137" t="s">
        <v>206</v>
      </c>
      <c r="H11" s="139">
        <f t="shared" ref="H11" si="0">IFERROR(IF(SUM(IF(D11=0,0,IF(J11="Sick",IF(MINUTE(E11-D11)&gt;29,HOUR(E11-D11)+1,HOUR(E11-D11)),0)),IF(AND(D12&gt;0,D12&lt;=E11),0,IF(OR(E11=0,D12=0),0,IF(J12="Sick",IF(MINUTE(E12-D12)&gt;29,HOUR(E12-D12)+1,HOUR(E12-D12)),0))))=0,0,IF(SUM(IF(J11="Sick",IF(MINUTE(E11-D11)&gt;29,HOUR(E11-D11)+1,HOUR(E11-D11)),0),IF(J12="Sick",IF(MINUTE(E12-D12)&gt;29,HOUR(E12-D12)+1,HOUR(E12-D12)),0))&lt;=6,4,8)),"")</f>
        <v>0</v>
      </c>
      <c r="I11" s="131">
        <f t="shared" ref="I11" si="1">IFERROR(IF(SUM(IF(D11=0,0,IF(J11="Leave",IF(MINUTE(E11-D11)&gt;29,HOUR(E11-D11)+1,HOUR(E11-D11)),0)),IF(AND(D12&gt;0,D12&lt;=E11),0,IF(OR(E11=0,D12=0),0,IF(J12="leave",IF(MINUTE(E12-D12)&gt;29,HOUR(E12-D12)+1,HOUR(E12-D12)),0))))=0,0,IF(SUM(IF(J11="Leave",IF(MINUTE(E11-D11)&gt;29,HOUR(E11-D11)+1,HOUR(E11-D11)),0),IF(J12="leave",IF(MINUTE(E12-D12)&gt;29,HOUR(E12-D12)+1,HOUR(E12-D12)),0))&lt;=6,4,8)),"")</f>
        <v>0</v>
      </c>
      <c r="J11" s="126"/>
      <c r="K11" s="127"/>
      <c r="L11" s="127"/>
      <c r="M11" s="128"/>
      <c r="N11" s="153"/>
      <c r="O11" s="153"/>
      <c r="P11" s="153"/>
      <c r="Q11" s="153"/>
      <c r="R11" s="153"/>
      <c r="S11" s="98"/>
      <c r="T11" s="200"/>
      <c r="U11" s="114"/>
    </row>
    <row r="12" spans="1:21" s="65" customFormat="1" ht="18" customHeight="1" x14ac:dyDescent="0.45">
      <c r="A12" s="66"/>
      <c r="B12" s="155"/>
      <c r="C12" s="134"/>
      <c r="D12" s="39"/>
      <c r="E12" s="39"/>
      <c r="F12" s="132"/>
      <c r="G12" s="138"/>
      <c r="H12" s="139"/>
      <c r="I12" s="132"/>
      <c r="J12" s="126"/>
      <c r="K12" s="127"/>
      <c r="L12" s="127"/>
      <c r="M12" s="128"/>
      <c r="N12" s="153"/>
      <c r="O12" s="153"/>
      <c r="P12" s="153"/>
      <c r="Q12" s="153"/>
      <c r="R12" s="153"/>
      <c r="S12" s="74"/>
      <c r="T12" s="200"/>
      <c r="U12" s="114"/>
    </row>
    <row r="13" spans="1:21" s="65" customFormat="1" ht="18" customHeight="1" x14ac:dyDescent="0.45">
      <c r="B13" s="151" t="str">
        <f t="shared" ref="B13:B69" si="2">CHOOSE(WEEKDAY(C13),"Sunday","Monday","Tuesday","Wednesday","Thursday","Friday","Saturday")</f>
        <v>Saturday</v>
      </c>
      <c r="C13" s="135">
        <f>C11+1</f>
        <v>44744</v>
      </c>
      <c r="D13" s="117"/>
      <c r="E13" s="117"/>
      <c r="F13" s="129">
        <f>IFERROR(IF(D13=0,0,IF(OR(C13=List!$I$4,C13=List!$I$5,C13=List!$I$11,C13=List!$I$6,C13=List!$I$12,C13=List!$I$7,C13=List!$I$13,C13=List!$I$8,C13=List!$I$14,C13=List!$I$9,C13=List!$I$15,C13=List!$I$10,C13=List!$I$16,C13=List!$I$17,C13=List!$I$18,B13="Saturday",B13="Sunday"),
IF($D$2="","",
IF(AND(J13="",D13&gt;0,E13&gt;0),"",
IF(AND(D14&gt;0,E14&gt;0,J14=""),"",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IF(AND(Sheet2!E6&gt;0,Sheet2!E6&lt;=4),4,
IF(AND(Sheet2!E6&gt;4,Sheet2!E6&lt;=8),8,
IF(AND(Sheet2!E6&gt;8,Sheet2!E6&lt;=12),12,
IF(AND(Sheet2!E6&gt;12,Sheet2!E6&lt;=16),16,
IF(AND(Sheet2!E6&gt;16,Sheet2!E6&lt;=20),20,
IF(AND(Sheet2!E6&gt;20,Sheet2!E6&lt;=24),24,"")))))),
IF($D$2="CIFOR",
IF(AND(Sheet2!E6&gt;0,Sheet2!E6&lt;=9),9,
IF(AND(Sheet2!E6&gt;9,Sheet2!E6&lt;=18),18,
IF(AND(Sheet2!E6&gt;18,Sheet2!E6&lt;=24),24,""))),
IF(OR($D$2="Indika"),
IF(AND(Sheet2!E6&gt;0,Sheet2!E6&lt;=24),24,""),
IF(OR($D$2="BCA",$D$2="Bank Permata",$D$2="Sapta sarana Sejahtera (Exim Bank)",$D$2="AIA",$D$2="FIF"),
IF(AND(Sheet2!E6&gt;0,Sheet2!E6&lt;=8),8,
IF(AND(Sheet2!E6&gt;8,Sheet2!E6&lt;=16),16,
IF(AND(Sheet2!E6&gt;16,Sheet2!E6&lt;=24),24,""))),
IF(AND(Sheet2!E6&gt;0,Sheet2!E6&lt;=1),1,
IF(AND(Sheet2!E6&gt;1,Sheet2!E6&lt;=2),2,
IF(AND(Sheet2!E6&gt;2,Sheet2!E6&lt;=3),3,
IF(AND(Sheet2!E6&gt;3,Sheet2!E6&lt;=4),4,
IF(AND(Sheet2!E6&gt;4,Sheet2!E6&lt;=5),5,
IF(AND(Sheet2!E6&gt;5,Sheet2!E6&lt;=6),6,
IF(AND(Sheet2!E6&gt;6,Sheet2!E6&lt;=7),7,
IF(AND(Sheet2!E6&gt;7,Sheet2!E6&lt;=8),8,
IF(AND(Sheet2!E6&gt;8,Sheet2!E6&lt;=9),9,
IF(AND(Sheet2!E6&gt;9,Sheet2!E6&lt;=10),10,
IF(AND(Sheet2!E6&gt;10,Sheet2!E6&lt;=11),11,
IF(AND(Sheet2!E6&gt;11,Sheet2!E6&lt;=12),12,
IF(AND(Sheet2!E6&gt;12,Sheet2!E6&lt;=13),13,
IF(AND(Sheet2!E6&gt;13,Sheet2!E6&lt;=14),14,
IF(AND(Sheet2!E6&gt;14,Sheet2!E6&lt;=15),15,
IF(AND(Sheet2!E6&gt;15,Sheet2!E6&lt;=16),16,
IF(AND(Sheet2!E6&gt;16,Sheet2!E6&lt;=17),17,
IF(AND(Sheet2!E6&gt;17,Sheet2!E6&lt;=18),18,
IF(AND(Sheet2!E6&gt;18,Sheet2!E6&lt;=19),19,
IF(AND(Sheet2!E6&gt;19,Sheet2!E6&lt;=20),20,
IF(AND(Sheet2!E6&gt;20,Sheet2!E6&lt;=21),21,
IF(AND(Sheet2!E6&gt;21,Sheet2!E6&lt;=22),22,
IF(AND(Sheet2!E6&gt;22,Sheet2!E6&lt;=23),23,
IF(AND(Sheet2!E6&gt;23,Sheet2!E6&lt;=24),24,""))))))))))))))))))))))))))))))),
IF(OR(AND(B13="Monday"),
AND(B13="Tuesday"),
AND(B13="Wednesday"),
AND(B13="Thursday"),
AND(B13="Friday")),
IF(SUM(IF(OR(J13="",J13="Leave",J13="sick"),0,IF(MINUTE(E13-D13)&gt;29,HOUR(E13-D13)+1,HOUR(E13-D13))),IF(AND(D14&gt;0,D14&lt;=E13),0,IF(OR(D14=0,J14="",J14="Leave",J14="sick"),0,IF(MINUTE(E14-D14)&gt;29,HOUR(E14-D14)+1,HOUR(E14-D14)))))&gt;4,
SUM(IF(OR(J13="",J13="Leave",J13="sick"),0,IF(MINUTE(E13-D13)&gt;29,HOUR(E13-D13)+1,HOUR(E13-D13))),IF(AND(D14&gt;0,D14&lt;=E13),0,IF(OR(D14=0,J14="",J14="Leave",J14="sick"),0,IF(MINUTE(E14-D14)&gt;29,HOUR(E14-D14)+1,HOUR(E14-D14)))))-1,
SUM(IF(OR(J13="",J13="Leave",J13="sick"),0,IF(MINUTE(E13-D13)&gt;29,HOUR(E13-D13)+1,HOUR(E13-D13))),IF(AND(D14&gt;0,D14&lt;=E13),0,IF(OR(D14=0,J14="",J14="Leave",J14="sick"),0,IF(MINUTE(E14-D14)&gt;29,HOUR(E14-D14)+1,HOUR(E14-D14)))))),""))),"")</f>
        <v>0</v>
      </c>
      <c r="G13" s="143" t="s">
        <v>206</v>
      </c>
      <c r="H13" s="140">
        <f t="shared" ref="H13" si="3">IFERROR(IF(SUM(IF(D13=0,0,IF(J13="Sick",IF(MINUTE(E13-D13)&gt;29,HOUR(E13-D13)+1,HOUR(E13-D13)),0)),IF(AND(D14&gt;0,D14&lt;=E13),0,IF(OR(E13=0,D14=0),0,IF(J14="Sick",IF(MINUTE(E14-D14)&gt;29,HOUR(E14-D14)+1,HOUR(E14-D14)),0))))=0,0,IF(SUM(IF(J13="Sick",IF(MINUTE(E13-D13)&gt;29,HOUR(E13-D13)+1,HOUR(E13-D13)),0),IF(J14="Sick",IF(MINUTE(E14-D14)&gt;29,HOUR(E14-D14)+1,HOUR(E14-D14)),0))&lt;=6,4,8)),"")</f>
        <v>0</v>
      </c>
      <c r="I13" s="129">
        <f t="shared" ref="I13" si="4">IFERROR(IF(SUM(IF(D13=0,0,IF(J13="Leave",IF(MINUTE(E13-D13)&gt;29,HOUR(E13-D13)+1,HOUR(E13-D13)),0)),IF(AND(D14&gt;0,D14&lt;=E13),0,IF(OR(E13=0,D14=0),0,IF(J14="leave",IF(MINUTE(E14-D14)&gt;29,HOUR(E14-D14)+1,HOUR(E14-D14)),0))))=0,0,IF(SUM(IF(J13="Leave",IF(MINUTE(E13-D13)&gt;29,HOUR(E13-D13)+1,HOUR(E13-D13)),0),IF(J14="leave",IF(MINUTE(E14-D14)&gt;29,HOUR(E14-D14)+1,HOUR(E14-D14)),0))&lt;=6,4,8)),"")</f>
        <v>0</v>
      </c>
      <c r="J13" s="123"/>
      <c r="K13" s="124"/>
      <c r="L13" s="124"/>
      <c r="M13" s="125"/>
      <c r="N13" s="157"/>
      <c r="O13" s="157"/>
      <c r="P13" s="157"/>
      <c r="Q13" s="157"/>
      <c r="R13" s="157"/>
      <c r="S13" s="74"/>
      <c r="T13" s="75"/>
      <c r="U13" s="114"/>
    </row>
    <row r="14" spans="1:21" s="65" customFormat="1" ht="18" customHeight="1" x14ac:dyDescent="0.45">
      <c r="B14" s="152"/>
      <c r="C14" s="135"/>
      <c r="D14" s="117"/>
      <c r="E14" s="117"/>
      <c r="F14" s="130"/>
      <c r="G14" s="144"/>
      <c r="H14" s="140"/>
      <c r="I14" s="130"/>
      <c r="J14" s="123"/>
      <c r="K14" s="124"/>
      <c r="L14" s="124"/>
      <c r="M14" s="125"/>
      <c r="N14" s="157"/>
      <c r="O14" s="157"/>
      <c r="P14" s="157"/>
      <c r="Q14" s="157"/>
      <c r="R14" s="157"/>
      <c r="S14" s="74"/>
      <c r="T14" s="75"/>
      <c r="U14" s="114"/>
    </row>
    <row r="15" spans="1:21" s="65" customFormat="1" ht="18" customHeight="1" x14ac:dyDescent="0.45">
      <c r="B15" s="151" t="str">
        <f t="shared" si="2"/>
        <v>Sunday</v>
      </c>
      <c r="C15" s="135">
        <f t="shared" ref="C15" si="5">C13+1</f>
        <v>44745</v>
      </c>
      <c r="D15" s="117"/>
      <c r="E15" s="117"/>
      <c r="F15" s="129">
        <f>IFERROR(IF(D15=0,0,IF(OR(C15=List!$I$4,C15=List!$I$5,C15=List!$I$11,C15=List!$I$6,C15=List!$I$12,C15=List!$I$7,C15=List!$I$13,C15=List!$I$8,C15=List!$I$14,C15=List!$I$9,C15=List!$I$15,C15=List!$I$10,C15=List!$I$16,C15=List!$I$17,C15=List!$I$18,B15="Saturday",B15="Sunday"),
IF($D$2="","",
IF(AND(J15="",D15&gt;0,E15&gt;0),"",
IF(AND(D16&gt;0,E16&gt;0,J16=""),"",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IF(AND(Sheet2!E8&gt;0,Sheet2!E8&lt;=4),4,
IF(AND(Sheet2!E8&gt;4,Sheet2!E8&lt;=8),8,
IF(AND(Sheet2!E8&gt;8,Sheet2!E8&lt;=12),12,
IF(AND(Sheet2!E8&gt;12,Sheet2!E8&lt;=16),16,
IF(AND(Sheet2!E8&gt;16,Sheet2!E8&lt;=20),20,
IF(AND(Sheet2!E8&gt;20,Sheet2!E8&lt;=24),24,"")))))),
IF($D$2="CIFOR",
IF(AND(Sheet2!E8&gt;0,Sheet2!E8&lt;=9),9,
IF(AND(Sheet2!E8&gt;9,Sheet2!E8&lt;=18),18,
IF(AND(Sheet2!E8&gt;18,Sheet2!E8&lt;=24),24,""))),
IF(OR($D$2="Indika"),
IF(AND(Sheet2!E8&gt;0,Sheet2!E8&lt;=24),24,""),
IF(OR($D$2="BCA",$D$2="Bank Permata",$D$2="Sapta sarana Sejahtera (Exim Bank)",$D$2="AIA",$D$2="FIF"),
IF(AND(Sheet2!E8&gt;0,Sheet2!E8&lt;=8),8,
IF(AND(Sheet2!E8&gt;8,Sheet2!E8&lt;=16),16,
IF(AND(Sheet2!E8&gt;16,Sheet2!E8&lt;=24),24,""))),
IF(AND(Sheet2!E8&gt;0,Sheet2!E8&lt;=1),1,
IF(AND(Sheet2!E8&gt;1,Sheet2!E8&lt;=2),2,
IF(AND(Sheet2!E8&gt;2,Sheet2!E8&lt;=3),3,
IF(AND(Sheet2!E8&gt;3,Sheet2!E8&lt;=4),4,
IF(AND(Sheet2!E8&gt;4,Sheet2!E8&lt;=5),5,
IF(AND(Sheet2!E8&gt;5,Sheet2!E8&lt;=6),6,
IF(AND(Sheet2!E8&gt;6,Sheet2!E8&lt;=7),7,
IF(AND(Sheet2!E8&gt;7,Sheet2!E8&lt;=8),8,
IF(AND(Sheet2!E8&gt;8,Sheet2!E8&lt;=9),9,
IF(AND(Sheet2!E8&gt;9,Sheet2!E8&lt;=10),10,
IF(AND(Sheet2!E8&gt;10,Sheet2!E8&lt;=11),11,
IF(AND(Sheet2!E8&gt;11,Sheet2!E8&lt;=12),12,
IF(AND(Sheet2!E8&gt;12,Sheet2!E8&lt;=13),13,
IF(AND(Sheet2!E8&gt;13,Sheet2!E8&lt;=14),14,
IF(AND(Sheet2!E8&gt;14,Sheet2!E8&lt;=15),15,
IF(AND(Sheet2!E8&gt;15,Sheet2!E8&lt;=16),16,
IF(AND(Sheet2!E8&gt;16,Sheet2!E8&lt;=17),17,
IF(AND(Sheet2!E8&gt;17,Sheet2!E8&lt;=18),18,
IF(AND(Sheet2!E8&gt;18,Sheet2!E8&lt;=19),19,
IF(AND(Sheet2!E8&gt;19,Sheet2!E8&lt;=20),20,
IF(AND(Sheet2!E8&gt;20,Sheet2!E8&lt;=21),21,
IF(AND(Sheet2!E8&gt;21,Sheet2!E8&lt;=22),22,
IF(AND(Sheet2!E8&gt;22,Sheet2!E8&lt;=23),23,
IF(AND(Sheet2!E8&gt;23,Sheet2!E8&lt;=24),24,""))))))))))))))))))))))))))))))),
IF(OR(AND(B15="Monday"),
AND(B15="Tuesday"),
AND(B15="Wednesday"),
AND(B15="Thursday"),
AND(B15="Friday")),
IF(SUM(IF(OR(J15="",J15="Leave",J15="sick"),0,IF(MINUTE(E15-D15)&gt;29,HOUR(E15-D15)+1,HOUR(E15-D15))),IF(AND(D16&gt;0,D16&lt;=E15),0,IF(OR(D16=0,J16="",J16="Leave",J16="sick"),0,IF(MINUTE(E16-D16)&gt;29,HOUR(E16-D16)+1,HOUR(E16-D16)))))&gt;4,
SUM(IF(OR(J15="",J15="Leave",J15="sick"),0,IF(MINUTE(E15-D15)&gt;29,HOUR(E15-D15)+1,HOUR(E15-D15))),IF(AND(D16&gt;0,D16&lt;=E15),0,IF(OR(D16=0,J16="",J16="Leave",J16="sick"),0,IF(MINUTE(E16-D16)&gt;29,HOUR(E16-D16)+1,HOUR(E16-D16)))))-1,
SUM(IF(OR(J15="",J15="Leave",J15="sick"),0,IF(MINUTE(E15-D15)&gt;29,HOUR(E15-D15)+1,HOUR(E15-D15))),IF(AND(D16&gt;0,D16&lt;=E15),0,IF(OR(D16=0,J16="",J16="Leave",J16="sick"),0,IF(MINUTE(E16-D16)&gt;29,HOUR(E16-D16)+1,HOUR(E16-D16)))))),""))),"")</f>
        <v>0</v>
      </c>
      <c r="G15" s="143" t="s">
        <v>206</v>
      </c>
      <c r="H15" s="140">
        <f t="shared" ref="H15" si="6">IFERROR(IF(SUM(IF(D15=0,0,IF(J15="Sick",IF(MINUTE(E15-D15)&gt;29,HOUR(E15-D15)+1,HOUR(E15-D15)),0)),IF(AND(D16&gt;0,D16&lt;=E15),0,IF(OR(E15=0,D16=0),0,IF(J16="Sick",IF(MINUTE(E16-D16)&gt;29,HOUR(E16-D16)+1,HOUR(E16-D16)),0))))=0,0,IF(SUM(IF(J15="Sick",IF(MINUTE(E15-D15)&gt;29,HOUR(E15-D15)+1,HOUR(E15-D15)),0),IF(J16="Sick",IF(MINUTE(E16-D16)&gt;29,HOUR(E16-D16)+1,HOUR(E16-D16)),0))&lt;=6,4,8)),"")</f>
        <v>0</v>
      </c>
      <c r="I15" s="129">
        <f t="shared" ref="I15" si="7">IFERROR(IF(SUM(IF(D15=0,0,IF(J15="Leave",IF(MINUTE(E15-D15)&gt;29,HOUR(E15-D15)+1,HOUR(E15-D15)),0)),IF(AND(D16&gt;0,D16&lt;=E15),0,IF(OR(E15=0,D16=0),0,IF(J16="leave",IF(MINUTE(E16-D16)&gt;29,HOUR(E16-D16)+1,HOUR(E16-D16)),0))))=0,0,IF(SUM(IF(J15="Leave",IF(MINUTE(E15-D15)&gt;29,HOUR(E15-D15)+1,HOUR(E15-D15)),0),IF(J16="leave",IF(MINUTE(E16-D16)&gt;29,HOUR(E16-D16)+1,HOUR(E16-D16)),0))&lt;=6,4,8)),"")</f>
        <v>0</v>
      </c>
      <c r="J15" s="123"/>
      <c r="K15" s="124"/>
      <c r="L15" s="124"/>
      <c r="M15" s="125"/>
      <c r="N15" s="158"/>
      <c r="O15" s="157"/>
      <c r="P15" s="157"/>
      <c r="Q15" s="157"/>
      <c r="R15" s="157"/>
      <c r="S15" s="73"/>
      <c r="T15" s="75"/>
      <c r="U15" s="114"/>
    </row>
    <row r="16" spans="1:21" s="65" customFormat="1" ht="18" customHeight="1" x14ac:dyDescent="0.45">
      <c r="B16" s="152"/>
      <c r="C16" s="135"/>
      <c r="D16" s="117"/>
      <c r="E16" s="117"/>
      <c r="F16" s="130"/>
      <c r="G16" s="144"/>
      <c r="H16" s="140"/>
      <c r="I16" s="130"/>
      <c r="J16" s="123"/>
      <c r="K16" s="124"/>
      <c r="L16" s="124"/>
      <c r="M16" s="125"/>
      <c r="N16" s="157"/>
      <c r="O16" s="157"/>
      <c r="P16" s="157"/>
      <c r="Q16" s="157"/>
      <c r="R16" s="157"/>
      <c r="S16" s="73"/>
      <c r="U16" s="114"/>
    </row>
    <row r="17" spans="2:21" s="65" customFormat="1" ht="18" customHeight="1" x14ac:dyDescent="0.45">
      <c r="B17" s="154" t="str">
        <f t="shared" si="2"/>
        <v>Monday</v>
      </c>
      <c r="C17" s="136">
        <f t="shared" ref="C17" si="8">C15+1</f>
        <v>44746</v>
      </c>
      <c r="D17" s="39"/>
      <c r="E17" s="39"/>
      <c r="F17" s="131">
        <f>IFERROR(IF(D17=0,0,IF(OR(C17=List!$I$4,C17=List!$I$5,C17=List!$I$11,C17=List!$I$6,C17=List!$I$12,C17=List!$I$7,C17=List!$I$13,C17=List!$I$8,C17=List!$I$14,C17=List!$I$9,C17=List!$I$15,C17=List!$I$10,C17=List!$I$16,C17=List!$I$17,C17=List!$I$18,B17="Saturday",B17="Sunday"),
IF($D$2="","",
IF(AND(J17="",D17&gt;0,E17&gt;0),"",
IF(AND(D18&gt;0,E18&gt;0,J18=""),"",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Bank)",,$D$2="Bank QNB",$D$2="Zurich Insurance",$D$2="PT. PM Sampoerna ISC"),
IF(AND(Sheet2!E10&gt;0,Sheet2!E10&lt;=4),4,
IF(AND(Sheet2!E10&gt;4,Sheet2!E10&lt;=8),8,
IF(AND(Sheet2!E10&gt;8,Sheet2!E10&lt;=12),12,
IF(AND(Sheet2!E10&gt;12,Sheet2!E10&lt;=16),16,
IF(AND(Sheet2!E10&gt;16,Sheet2!E10&lt;=20),20,
IF(AND(Sheet2!E10&gt;20,Sheet2!E10&lt;=24),24,"")))))),
IF($D$2="CIFOR",
IF(AND(Sheet2!E10&gt;0,Sheet2!E10&lt;=9),9,
IF(AND(Sheet2!E10&gt;9,Sheet2!E10&lt;=18),18,
IF(AND(Sheet2!E10&gt;18,Sheet2!E10&lt;=24),24,""))),
IF(OR($D$2="Indika"),
IF(AND(Sheet2!E10&gt;0,Sheet2!E10&lt;=24),24,""),
IF(OR($D$2="BCA",$D$2="Bank Permata",$D$2="Sapta sarana Sejahtera (Exim Bank)",$D$2="AIA",$D$2="FIF"),
IF(AND(Sheet2!E10&gt;0,Sheet2!E10&lt;=8),8,
IF(AND(Sheet2!E10&gt;8,Sheet2!E10&lt;=16),16,
IF(AND(Sheet2!E10&gt;16,Sheet2!E10&lt;=24),24,""))),
IF(AND(Sheet2!E10&gt;0,Sheet2!E10&lt;=1),1,
IF(AND(Sheet2!E10&gt;1,Sheet2!E10&lt;=2),2,
IF(AND(Sheet2!E10&gt;2,Sheet2!E10&lt;=3),3,
IF(AND(Sheet2!E10&gt;3,Sheet2!E10&lt;=4),4,
IF(AND(Sheet2!E10&gt;4,Sheet2!E10&lt;=5),5,
IF(AND(Sheet2!E10&gt;5,Sheet2!E10&lt;=6),6,
IF(AND(Sheet2!E10&gt;6,Sheet2!E10&lt;=7),7,
IF(AND(Sheet2!E10&gt;7,Sheet2!E10&lt;=8),8,
IF(AND(Sheet2!E10&gt;8,Sheet2!E10&lt;=9),9,
IF(AND(Sheet2!E10&gt;9,Sheet2!E10&lt;=10),10,
IF(AND(Sheet2!E10&gt;10,Sheet2!E10&lt;=11),11,
IF(AND(Sheet2!E10&gt;11,Sheet2!E10&lt;=12),12,
IF(AND(Sheet2!E10&gt;12,Sheet2!E10&lt;=13),13,
IF(AND(Sheet2!E10&gt;13,Sheet2!E10&lt;=14),14,
IF(AND(Sheet2!E10&gt;14,Sheet2!E10&lt;=15),15,
IF(AND(Sheet2!E10&gt;15,Sheet2!E10&lt;=16),16,
IF(AND(Sheet2!E10&gt;16,Sheet2!E10&lt;=17),17,
IF(AND(Sheet2!E10&gt;17,Sheet2!E10&lt;=18),18,
IF(AND(Sheet2!E10&gt;18,Sheet2!E10&lt;=19),19,
IF(AND(Sheet2!E10&gt;19,Sheet2!E10&lt;=20),20,
IF(AND(Sheet2!E10&gt;20,Sheet2!E10&lt;=21),21,
IF(AND(Sheet2!E10&gt;21,Sheet2!E10&lt;=22),22,
IF(AND(Sheet2!E10&gt;22,Sheet2!E10&lt;=23),23,
IF(AND(Sheet2!E10&gt;23,Sheet2!E10&lt;=24),24,""))))))))))))))))))))))))))))))),
IF(OR(AND(B17="Monday"),
AND(B17="Tuesday"),
AND(B17="Wednesday"),
AND(B17="Thursday"),
AND(B17="Friday")),
IF(SUM(IF(OR(J17="",J17="Leave",J17="sick"),0,IF(MINUTE(E17-D17)&gt;29,HOUR(E17-D17)+1,HOUR(E17-D17))),IF(AND(D18&gt;0,D18&lt;=E17),0,IF(OR(D18=0,J18="",J18="Leave",J18="sick"),0,IF(MINUTE(E18-D18)&gt;29,HOUR(E18-D18)+1,HOUR(E18-D18)))))&gt;4,
SUM(IF(OR(J17="",J17="Leave",J17="sick"),0,IF(MINUTE(E17-D17)&gt;29,HOUR(E17-D17)+1,HOUR(E17-D17))),IF(AND(D18&gt;0,D18&lt;=E17),0,IF(OR(D18=0,J18="",J18="Leave",J18="sick"),0,IF(MINUTE(E18-D18)&gt;29,HOUR(E18-D18)+1,HOUR(E18-D18)))))-1,
SUM(IF(OR(J17="",J17="Leave",J17="sick"),0,IF(MINUTE(E17-D17)&gt;29,HOUR(E17-D17)+1,HOUR(E17-D17))),IF(AND(D18&gt;0,D18&lt;=E17),0,IF(OR(D18=0,J18="",J18="Leave",J18="sick"),0,IF(MINUTE(E18-D18)&gt;29,HOUR(E18-D18)+1,HOUR(E18-D18)))))),""))),"")</f>
        <v>0</v>
      </c>
      <c r="G17" s="137" t="s">
        <v>206</v>
      </c>
      <c r="H17" s="139">
        <f t="shared" ref="H17" si="9">IFERROR(IF(SUM(IF(D17=0,0,IF(J17="Sick",IF(MINUTE(E17-D17)&gt;29,HOUR(E17-D17)+1,HOUR(E17-D17)),0)),IF(AND(D18&gt;0,D18&lt;=E17),0,IF(OR(E17=0,D18=0),0,IF(J18="Sick",IF(MINUTE(E18-D18)&gt;29,HOUR(E18-D18)+1,HOUR(E18-D18)),0))))=0,0,IF(SUM(IF(J17="Sick",IF(MINUTE(E17-D17)&gt;29,HOUR(E17-D17)+1,HOUR(E17-D17)),0),IF(J18="Sick",IF(MINUTE(E18-D18)&gt;29,HOUR(E18-D18)+1,HOUR(E18-D18)),0))&lt;=6,4,8)),"")</f>
        <v>0</v>
      </c>
      <c r="I17" s="131">
        <f t="shared" ref="I17" si="10">IFERROR(IF(SUM(IF(D17=0,0,IF(J17="Leave",IF(MINUTE(E17-D17)&gt;29,HOUR(E17-D17)+1,HOUR(E17-D17)),0)),IF(AND(D18&gt;0,D18&lt;=E17),0,IF(OR(E17=0,D18=0),0,IF(J18="leave",IF(MINUTE(E18-D18)&gt;29,HOUR(E18-D18)+1,HOUR(E18-D18)),0))))=0,0,IF(SUM(IF(J17="Leave",IF(MINUTE(E17-D17)&gt;29,HOUR(E17-D17)+1,HOUR(E17-D17)),0),IF(J18="leave",IF(MINUTE(E18-D18)&gt;29,HOUR(E18-D18)+1,HOUR(E18-D18)),0))&lt;=6,4,8)),"")</f>
        <v>0</v>
      </c>
      <c r="J17" s="126"/>
      <c r="K17" s="127"/>
      <c r="L17" s="127"/>
      <c r="M17" s="128"/>
      <c r="N17" s="156"/>
      <c r="O17" s="153"/>
      <c r="P17" s="153"/>
      <c r="Q17" s="153"/>
      <c r="R17" s="153"/>
      <c r="S17" s="73"/>
      <c r="T17" s="68"/>
      <c r="U17" s="116"/>
    </row>
    <row r="18" spans="2:21" s="65" customFormat="1" ht="18" customHeight="1" x14ac:dyDescent="0.45">
      <c r="B18" s="155"/>
      <c r="C18" s="136"/>
      <c r="D18" s="39"/>
      <c r="E18" s="39"/>
      <c r="F18" s="132"/>
      <c r="G18" s="138"/>
      <c r="H18" s="139"/>
      <c r="I18" s="132"/>
      <c r="J18" s="126"/>
      <c r="K18" s="127"/>
      <c r="L18" s="127"/>
      <c r="M18" s="128"/>
      <c r="N18" s="156"/>
      <c r="O18" s="153"/>
      <c r="P18" s="153"/>
      <c r="Q18" s="153"/>
      <c r="R18" s="153"/>
      <c r="S18" s="73"/>
      <c r="T18" s="68"/>
      <c r="U18" s="116"/>
    </row>
    <row r="19" spans="2:21" s="66" customFormat="1" ht="18" customHeight="1" x14ac:dyDescent="0.45">
      <c r="B19" s="154" t="str">
        <f t="shared" si="2"/>
        <v>Tuesday</v>
      </c>
      <c r="C19" s="136">
        <f t="shared" ref="C19" si="11">C17+1</f>
        <v>44747</v>
      </c>
      <c r="D19" s="39"/>
      <c r="E19" s="39"/>
      <c r="F19" s="131">
        <f>IFERROR(IF(D19=0,0,IF(OR(C19=List!$I$4,C19=List!$I$5,C19=List!$I$11,C19=List!$I$6,C19=List!$I$12,C19=List!$I$7,C19=List!$I$13,C19=List!$I$8,C19=List!$I$14,C19=List!$I$9,C19=List!$I$15,C19=List!$I$10,C19=List!$I$16,C19=List!$I$17,C19=List!$I$18,B19="Saturday",B19="Sunday"),
IF($D$2="","",
IF(AND(J19="",D19&gt;0,E19&gt;0),"",
IF(AND(D20&gt;0,E20&gt;0,J20=""),"",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IF(AND(Sheet2!E12&gt;0,Sheet2!E12&lt;=4),4,
IF(AND(Sheet2!E12&gt;4,Sheet2!E12&lt;=8),8,
IF(AND(Sheet2!E12&gt;8,Sheet2!E12&lt;=12),12,
IF(AND(Sheet2!E12&gt;12,Sheet2!E12&lt;=16),16,
IF(AND(Sheet2!E12&gt;16,Sheet2!E12&lt;=20),20,
IF(AND(Sheet2!E12&gt;20,Sheet2!E12&lt;=24),24,"")))))),
IF($D$2="CIFOR",
IF(AND(Sheet2!E12&gt;0,Sheet2!E12&lt;=9),9,
IF(AND(Sheet2!E12&gt;9,Sheet2!E12&lt;=18),18,
IF(AND(Sheet2!E12&gt;18,Sheet2!E12&lt;=24),24,""))),
IF(OR($D$2="Indika"),
IF(AND(Sheet2!E12&gt;0,Sheet2!E12&lt;=24),24,""),
IF(OR($D$2="BCA",$D$2="Bank Permata",$D$2="Sapta sarana Sejahtera (Exim Bank)",$D$2="AIA",$D$2="FIF"),
IF(AND(Sheet2!E12&gt;0,Sheet2!E12&lt;=8),8,
IF(AND(Sheet2!E12&gt;8,Sheet2!E12&lt;=16),16,
IF(AND(Sheet2!E12&gt;16,Sheet2!E12&lt;=24),24,""))),
IF(AND(Sheet2!E12&gt;0,Sheet2!E12&lt;=1),1,
IF(AND(Sheet2!E12&gt;1,Sheet2!E12&lt;=2),2,
IF(AND(Sheet2!E12&gt;2,Sheet2!E12&lt;=3),3,
IF(AND(Sheet2!E12&gt;3,Sheet2!E12&lt;=4),4,
IF(AND(Sheet2!E12&gt;4,Sheet2!E12&lt;=5),5,
IF(AND(Sheet2!E12&gt;5,Sheet2!E12&lt;=6),6,
IF(AND(Sheet2!E12&gt;6,Sheet2!E12&lt;=7),7,
IF(AND(Sheet2!E12&gt;7,Sheet2!E12&lt;=8),8,
IF(AND(Sheet2!E12&gt;8,Sheet2!E12&lt;=9),9,
IF(AND(Sheet2!E12&gt;9,Sheet2!E12&lt;=10),10,
IF(AND(Sheet2!E12&gt;10,Sheet2!E12&lt;=11),11,
IF(AND(Sheet2!E12&gt;11,Sheet2!E12&lt;=12),12,
IF(AND(Sheet2!E12&gt;12,Sheet2!E12&lt;=13),13,
IF(AND(Sheet2!E12&gt;13,Sheet2!E12&lt;=14),14,
IF(AND(Sheet2!E12&gt;14,Sheet2!E12&lt;=15),15,
IF(AND(Sheet2!E12&gt;15,Sheet2!E12&lt;=16),16,
IF(AND(Sheet2!E12&gt;16,Sheet2!E12&lt;=17),17,
IF(AND(Sheet2!E12&gt;17,Sheet2!E12&lt;=18),18,
IF(AND(Sheet2!E12&gt;18,Sheet2!E12&lt;=19),19,
IF(AND(Sheet2!E12&gt;19,Sheet2!E12&lt;=20),20,
IF(AND(Sheet2!E12&gt;20,Sheet2!E12&lt;=21),21,
IF(AND(Sheet2!E12&gt;21,Sheet2!E12&lt;=22),22,
IF(AND(Sheet2!E12&gt;22,Sheet2!E12&lt;=23),23,
IF(AND(Sheet2!E12&gt;23,Sheet2!E12&lt;=24),24,""))))))))))))))))))))))))))))))),
IF(OR(AND(B19="Monday"),
AND(B19="Tuesday"),
AND(B19="Wednesday"),
AND(B19="Thursday"),
AND(B19="Friday")),
IF(SUM(IF(OR(J19="",J19="Leave",J19="sick"),0,IF(MINUTE(E19-D19)&gt;29,HOUR(E19-D19)+1,HOUR(E19-D19))),IF(AND(D20&gt;0,D20&lt;=E19),0,IF(OR(D20=0,J20="",J20="Leave",J20="sick"),0,IF(MINUTE(E20-D20)&gt;29,HOUR(E20-D20)+1,HOUR(E20-D20)))))&gt;4,
SUM(IF(OR(J19="",J19="Leave",J19="sick"),0,IF(MINUTE(E19-D19)&gt;29,HOUR(E19-D19)+1,HOUR(E19-D19))),IF(AND(D20&gt;0,D20&lt;=E19),0,IF(OR(D20=0,J20="",J20="Leave",J20="sick"),0,IF(MINUTE(E20-D20)&gt;29,HOUR(E20-D20)+1,HOUR(E20-D20)))))-1,
SUM(IF(OR(J19="",J19="Leave",J19="sick"),0,IF(MINUTE(E19-D19)&gt;29,HOUR(E19-D19)+1,HOUR(E19-D19))),IF(AND(D20&gt;0,D20&lt;=E19),0,IF(OR(D20=0,J20="",J20="Leave",J20="sick"),0,IF(MINUTE(E20-D20)&gt;29,HOUR(E20-D20)+1,HOUR(E20-D20)))))),""))),"")</f>
        <v>0</v>
      </c>
      <c r="G19" s="137" t="s">
        <v>206</v>
      </c>
      <c r="H19" s="139">
        <f t="shared" ref="H19" si="12">IFERROR(IF(SUM(IF(D19=0,0,IF(J19="Sick",IF(MINUTE(E19-D19)&gt;29,HOUR(E19-D19)+1,HOUR(E19-D19)),0)),IF(AND(D20&gt;0,D20&lt;=E19),0,IF(OR(E19=0,D20=0),0,IF(J20="Sick",IF(MINUTE(E20-D20)&gt;29,HOUR(E20-D20)+1,HOUR(E20-D20)),0))))=0,0,IF(SUM(IF(J19="Sick",IF(MINUTE(E19-D19)&gt;29,HOUR(E19-D19)+1,HOUR(E19-D19)),0),IF(J20="Sick",IF(MINUTE(E20-D20)&gt;29,HOUR(E20-D20)+1,HOUR(E20-D20)),0))&lt;=6,4,8)),"")</f>
        <v>0</v>
      </c>
      <c r="I19" s="131">
        <f t="shared" ref="I19" si="13">IFERROR(IF(SUM(IF(D19=0,0,IF(J19="Leave",IF(MINUTE(E19-D19)&gt;29,HOUR(E19-D19)+1,HOUR(E19-D19)),0)),IF(AND(D20&gt;0,D20&lt;=E19),0,IF(OR(E19=0,D20=0),0,IF(J20="leave",IF(MINUTE(E20-D20)&gt;29,HOUR(E20-D20)+1,HOUR(E20-D20)),0))))=0,0,IF(SUM(IF(J19="Leave",IF(MINUTE(E19-D19)&gt;29,HOUR(E19-D19)+1,HOUR(E19-D19)),0),IF(J20="leave",IF(MINUTE(E20-D20)&gt;29,HOUR(E20-D20)+1,HOUR(E20-D20)),0))&lt;=6,4,8)),"")</f>
        <v>0</v>
      </c>
      <c r="J19" s="126"/>
      <c r="K19" s="127"/>
      <c r="L19" s="127"/>
      <c r="M19" s="128"/>
      <c r="N19" s="156"/>
      <c r="O19" s="153"/>
      <c r="P19" s="153"/>
      <c r="Q19" s="153"/>
      <c r="R19" s="153"/>
      <c r="S19" s="73"/>
      <c r="U19" s="116"/>
    </row>
    <row r="20" spans="2:21" s="66" customFormat="1" ht="18" customHeight="1" x14ac:dyDescent="0.45">
      <c r="B20" s="155"/>
      <c r="C20" s="136"/>
      <c r="D20" s="39"/>
      <c r="E20" s="39"/>
      <c r="F20" s="132"/>
      <c r="G20" s="138"/>
      <c r="H20" s="139"/>
      <c r="I20" s="132"/>
      <c r="J20" s="126"/>
      <c r="K20" s="127"/>
      <c r="L20" s="127"/>
      <c r="M20" s="128"/>
      <c r="N20" s="156"/>
      <c r="O20" s="153"/>
      <c r="P20" s="153"/>
      <c r="Q20" s="153"/>
      <c r="R20" s="153"/>
      <c r="S20" s="73"/>
      <c r="U20" s="115"/>
    </row>
    <row r="21" spans="2:21" s="66" customFormat="1" ht="18" customHeight="1" x14ac:dyDescent="0.45">
      <c r="B21" s="154" t="str">
        <f t="shared" si="2"/>
        <v>Wednesday</v>
      </c>
      <c r="C21" s="136">
        <f t="shared" ref="C21" si="14">C19+1</f>
        <v>44748</v>
      </c>
      <c r="D21" s="39"/>
      <c r="E21" s="39"/>
      <c r="F21" s="131">
        <f>IFERROR(IF(D21=0,0,IF(OR(C21=List!$I$4,C21=List!$I$5,C21=List!$I$11,C21=List!$I$6,C21=List!$I$12,C21=List!$I$7,C21=List!$I$13,C21=List!$I$8,C21=List!$I$14,C21=List!$I$9,C21=List!$I$15,C21=List!$I$10,C21=List!$I$16,C21=List!$I$17,C21=List!$I$18,B21="Saturday",B21="Sunday"),
IF($D$2="","",
IF(AND(J21="",D21&gt;0,E21&gt;0),"",
IF(AND(D22&gt;0,E22&gt;0,J22=""),"",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IF(AND(Sheet2!E14&gt;0,Sheet2!E14&lt;=4),4,
IF(AND(Sheet2!E14&gt;4,Sheet2!E14&lt;=8),8,
IF(AND(Sheet2!E14&gt;8,Sheet2!E14&lt;=12),12,
IF(AND(Sheet2!E14&gt;12,Sheet2!E14&lt;=16),16,
IF(AND(Sheet2!E14&gt;16,Sheet2!E14&lt;=20),20,
IF(AND(Sheet2!E14&gt;20,Sheet2!E14&lt;=24),24,"")))))),
IF($D$2="CIFOR",
IF(AND(Sheet2!E14&gt;0,Sheet2!E14&lt;=9),9,
IF(AND(Sheet2!E14&gt;9,Sheet2!E14&lt;=18),18,
IF(AND(Sheet2!E14&gt;18,Sheet2!E14&lt;=24),24,""))),
IF(OR($D$2="Indika"),
IF(AND(Sheet2!E14&gt;0,Sheet2!E14&lt;=24),24,""),
IF(OR($D$2="BCA",$D$2="Bank Permata",$D$2="Sapta sarana Sejahtera (Exim Bank)",$D$2="AIA",$D$2="FIF"),
IF(AND(Sheet2!E14&gt;0,Sheet2!E14&lt;=8),8,
IF(AND(Sheet2!E14&gt;8,Sheet2!E14&lt;=16),16,
IF(AND(Sheet2!E14&gt;16,Sheet2!E14&lt;=24),24,""))),
IF(AND(Sheet2!E14&gt;0,Sheet2!E14&lt;=1),1,
IF(AND(Sheet2!E14&gt;1,Sheet2!E14&lt;=2),2,
IF(AND(Sheet2!E14&gt;2,Sheet2!E14&lt;=3),3,
IF(AND(Sheet2!E14&gt;3,Sheet2!E14&lt;=4),4,
IF(AND(Sheet2!E14&gt;4,Sheet2!E14&lt;=5),5,
IF(AND(Sheet2!E14&gt;5,Sheet2!E14&lt;=6),6,
IF(AND(Sheet2!E14&gt;6,Sheet2!E14&lt;=7),7,
IF(AND(Sheet2!E14&gt;7,Sheet2!E14&lt;=8),8,
IF(AND(Sheet2!E14&gt;8,Sheet2!E14&lt;=9),9,
IF(AND(Sheet2!E14&gt;9,Sheet2!E14&lt;=10),10,
IF(AND(Sheet2!E14&gt;10,Sheet2!E14&lt;=11),11,
IF(AND(Sheet2!E14&gt;11,Sheet2!E14&lt;=12),12,
IF(AND(Sheet2!E14&gt;12,Sheet2!E14&lt;=13),13,
IF(AND(Sheet2!E14&gt;13,Sheet2!E14&lt;=14),14,
IF(AND(Sheet2!E14&gt;14,Sheet2!E14&lt;=15),15,
IF(AND(Sheet2!E14&gt;15,Sheet2!E14&lt;=16),16,
IF(AND(Sheet2!E14&gt;16,Sheet2!E14&lt;=17),17,
IF(AND(Sheet2!E14&gt;17,Sheet2!E14&lt;=18),18,
IF(AND(Sheet2!E14&gt;18,Sheet2!E14&lt;=19),19,
IF(AND(Sheet2!E14&gt;19,Sheet2!E14&lt;=20),20,
IF(AND(Sheet2!E14&gt;20,Sheet2!E14&lt;=21),21,
IF(AND(Sheet2!E14&gt;21,Sheet2!E14&lt;=22),22,
IF(AND(Sheet2!E14&gt;22,Sheet2!E14&lt;=23),23,
IF(AND(Sheet2!E14&gt;23,Sheet2!E14&lt;=24),24,""))))))))))))))))))))))))))))))),
IF(OR(AND(B21="Monday"),
AND(B21="Tuesday"),
AND(B21="Wednesday"),
AND(B21="Thursday"),
AND(B21="Friday")),
IF(SUM(IF(OR(J21="",J21="Leave",J21="sick"),0,IF(MINUTE(E21-D21)&gt;29,HOUR(E21-D21)+1,HOUR(E21-D21))),IF(AND(D22&gt;0,D22&lt;=E21),0,IF(OR(D22=0,J22="",J22="Leave",J22="sick"),0,IF(MINUTE(E22-D22)&gt;29,HOUR(E22-D22)+1,HOUR(E22-D22)))))&gt;4,
SUM(IF(OR(J21="",J21="Leave",J21="sick"),0,IF(MINUTE(E21-D21)&gt;29,HOUR(E21-D21)+1,HOUR(E21-D21))),IF(AND(D22&gt;0,D22&lt;=E21),0,IF(OR(D22=0,J22="",J22="Leave",J22="sick"),0,IF(MINUTE(E22-D22)&gt;29,HOUR(E22-D22)+1,HOUR(E22-D22)))))-1,
SUM(IF(OR(J21="",J21="Leave",J21="sick"),0,IF(MINUTE(E21-D21)&gt;29,HOUR(E21-D21)+1,HOUR(E21-D21))),IF(AND(D22&gt;0,D22&lt;=E21),0,IF(OR(D22=0,J22="",J22="Leave",J22="sick"),0,IF(MINUTE(E22-D22)&gt;29,HOUR(E22-D22)+1,HOUR(E22-D22)))))),""))),"")</f>
        <v>0</v>
      </c>
      <c r="G21" s="137" t="s">
        <v>206</v>
      </c>
      <c r="H21" s="139">
        <f t="shared" ref="H21" si="15">IFERROR(IF(SUM(IF(D21=0,0,IF(J21="Sick",IF(MINUTE(E21-D21)&gt;29,HOUR(E21-D21)+1,HOUR(E21-D21)),0)),IF(AND(D22&gt;0,D22&lt;=E21),0,IF(OR(E21=0,D22=0),0,IF(J22="Sick",IF(MINUTE(E22-D22)&gt;29,HOUR(E22-D22)+1,HOUR(E22-D22)),0))))=0,0,IF(SUM(IF(J21="Sick",IF(MINUTE(E21-D21)&gt;29,HOUR(E21-D21)+1,HOUR(E21-D21)),0),IF(J22="Sick",IF(MINUTE(E22-D22)&gt;29,HOUR(E22-D22)+1,HOUR(E22-D22)),0))&lt;=6,4,8)),"")</f>
        <v>0</v>
      </c>
      <c r="I21" s="131">
        <f t="shared" ref="I21" si="16">IFERROR(IF(SUM(IF(D21=0,0,IF(J21="Leave",IF(MINUTE(E21-D21)&gt;29,HOUR(E21-D21)+1,HOUR(E21-D21)),0)),IF(AND(D22&gt;0,D22&lt;=E21),0,IF(OR(E21=0,D22=0),0,IF(J22="leave",IF(MINUTE(E22-D22)&gt;29,HOUR(E22-D22)+1,HOUR(E22-D22)),0))))=0,0,IF(SUM(IF(J21="Leave",IF(MINUTE(E21-D21)&gt;29,HOUR(E21-D21)+1,HOUR(E21-D21)),0),IF(J22="leave",IF(MINUTE(E22-D22)&gt;29,HOUR(E22-D22)+1,HOUR(E22-D22)),0))&lt;=6,4,8)),"")</f>
        <v>0</v>
      </c>
      <c r="J21" s="126"/>
      <c r="K21" s="127"/>
      <c r="L21" s="127"/>
      <c r="M21" s="128"/>
      <c r="N21" s="156"/>
      <c r="O21" s="153"/>
      <c r="P21" s="153"/>
      <c r="Q21" s="153"/>
      <c r="R21" s="153"/>
      <c r="U21" s="115"/>
    </row>
    <row r="22" spans="2:21" s="66" customFormat="1" ht="18" customHeight="1" x14ac:dyDescent="0.45">
      <c r="B22" s="155"/>
      <c r="C22" s="136"/>
      <c r="D22" s="39"/>
      <c r="E22" s="39"/>
      <c r="F22" s="132"/>
      <c r="G22" s="138"/>
      <c r="H22" s="139"/>
      <c r="I22" s="132"/>
      <c r="J22" s="126"/>
      <c r="K22" s="127"/>
      <c r="L22" s="127"/>
      <c r="M22" s="128"/>
      <c r="N22" s="153"/>
      <c r="O22" s="153"/>
      <c r="P22" s="153"/>
      <c r="Q22" s="153"/>
      <c r="R22" s="153"/>
      <c r="U22" s="115"/>
    </row>
    <row r="23" spans="2:21" s="66" customFormat="1" ht="18" customHeight="1" x14ac:dyDescent="0.45">
      <c r="B23" s="154" t="str">
        <f t="shared" si="2"/>
        <v>Thursday</v>
      </c>
      <c r="C23" s="136">
        <f t="shared" ref="C23" si="17">C21+1</f>
        <v>44749</v>
      </c>
      <c r="D23" s="39"/>
      <c r="E23" s="39"/>
      <c r="F23" s="131">
        <f>IFERROR(IF(D23=0,0,IF(OR(C23=List!$I$4,C23=List!$I$5,C23=List!$I$11,C23=List!$I$6,C23=List!$I$12,C23=List!$I$7,C23=List!$I$13,C23=List!$I$8,C23=List!$I$14,C23=List!$I$9,C23=List!$I$15,C23=List!$I$10,C23=List!$I$16,C23=List!$I$17,C23=List!$I$18,B23="Saturday",B23="Sunday"),
IF($D$2="","",
IF(AND(J23="",D23&gt;0,E23&gt;0),"",
IF(AND(D24&gt;0,E24&gt;0,J24=""),"",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IF(AND(Sheet2!E16&gt;0,Sheet2!E16&lt;=4),4,
IF(AND(Sheet2!E16&gt;4,Sheet2!E16&lt;=8),8,
IF(AND(Sheet2!E16&gt;8,Sheet2!E16&lt;=12),12,
IF(AND(Sheet2!E16&gt;12,Sheet2!E16&lt;=16),16,
IF(AND(Sheet2!E16&gt;16,Sheet2!E16&lt;=20),20,
IF(AND(Sheet2!E16&gt;20,Sheet2!E16&lt;=24),24,"")))))),
IF($D$2="CIFOR",
IF(AND(Sheet2!E16&gt;0,Sheet2!E16&lt;=9),9,
IF(AND(Sheet2!E16&gt;9,Sheet2!E16&lt;=18),18,
IF(AND(Sheet2!E16&gt;18,Sheet2!E16&lt;=24),24,""))),
IF(OR($D$2="Indika"),
IF(AND(Sheet2!E16&gt;0,Sheet2!E16&lt;=24),24,""),
IF(OR($D$2="BCA",$D$2="Bank Permata",$D$2="Sapta sarana Sejahtera (Exim Bank)",$D$2="AIA",$D$2="FIF"),
IF(AND(Sheet2!E16&gt;0,Sheet2!E16&lt;=8),8,
IF(AND(Sheet2!E16&gt;8,Sheet2!E16&lt;=16),16,
IF(AND(Sheet2!E16&gt;16,Sheet2!E16&lt;=24),24,""))),
IF(AND(Sheet2!E16&gt;0,Sheet2!E16&lt;=1),1,
IF(AND(Sheet2!E16&gt;1,Sheet2!E16&lt;=2),2,
IF(AND(Sheet2!E16&gt;2,Sheet2!E16&lt;=3),3,
IF(AND(Sheet2!E16&gt;3,Sheet2!E16&lt;=4),4,
IF(AND(Sheet2!E16&gt;4,Sheet2!E16&lt;=5),5,
IF(AND(Sheet2!E16&gt;5,Sheet2!E16&lt;=6),6,
IF(AND(Sheet2!E16&gt;6,Sheet2!E16&lt;=7),7,
IF(AND(Sheet2!E16&gt;7,Sheet2!E16&lt;=8),8,
IF(AND(Sheet2!E16&gt;8,Sheet2!E16&lt;=9),9,
IF(AND(Sheet2!E16&gt;9,Sheet2!E16&lt;=10),10,
IF(AND(Sheet2!E16&gt;10,Sheet2!E16&lt;=11),11,
IF(AND(Sheet2!E16&gt;11,Sheet2!E16&lt;=12),12,
IF(AND(Sheet2!E16&gt;12,Sheet2!E16&lt;=13),13,
IF(AND(Sheet2!E16&gt;13,Sheet2!E16&lt;=14),14,
IF(AND(Sheet2!E16&gt;14,Sheet2!E16&lt;=15),15,
IF(AND(Sheet2!E16&gt;15,Sheet2!E16&lt;=16),16,
IF(AND(Sheet2!E16&gt;16,Sheet2!E16&lt;=17),17,
IF(AND(Sheet2!E16&gt;17,Sheet2!E16&lt;=18),18,
IF(AND(Sheet2!E16&gt;18,Sheet2!E16&lt;=19),19,
IF(AND(Sheet2!E16&gt;19,Sheet2!E16&lt;=20),20,
IF(AND(Sheet2!E16&gt;20,Sheet2!E16&lt;=21),21,
IF(AND(Sheet2!E16&gt;21,Sheet2!E16&lt;=22),22,
IF(AND(Sheet2!E16&gt;22,Sheet2!E16&lt;=23),23,
IF(AND(Sheet2!E16&gt;23,Sheet2!E16&lt;=24),24,""))))))))))))))))))))))))))))))),
IF(OR(AND(B23="Monday"),
AND(B23="Tuesday"),
AND(B23="Wednesday"),
AND(B23="Thursday"),
AND(B23="Friday")),
IF(SUM(IF(OR(J23="",J23="Leave",J23="sick"),0,IF(MINUTE(E23-D23)&gt;29,HOUR(E23-D23)+1,HOUR(E23-D23))),IF(AND(D24&gt;0,D24&lt;=E23),0,IF(OR(D24=0,J24="",J24="Leave",J24="sick"),0,IF(MINUTE(E24-D24)&gt;29,HOUR(E24-D24)+1,HOUR(E24-D24)))))&gt;4,
SUM(IF(OR(J23="",J23="Leave",J23="sick"),0,IF(MINUTE(E23-D23)&gt;29,HOUR(E23-D23)+1,HOUR(E23-D23))),IF(AND(D24&gt;0,D24&lt;=E23),0,IF(OR(D24=0,J24="",J24="Leave",J24="sick"),0,IF(MINUTE(E24-D24)&gt;29,HOUR(E24-D24)+1,HOUR(E24-D24)))))-1,
SUM(IF(OR(J23="",J23="Leave",J23="sick"),0,IF(MINUTE(E23-D23)&gt;29,HOUR(E23-D23)+1,HOUR(E23-D23))),IF(AND(D24&gt;0,D24&lt;=E23),0,IF(OR(D24=0,J24="",J24="Leave",J24="sick"),0,IF(MINUTE(E24-D24)&gt;29,HOUR(E24-D24)+1,HOUR(E24-D24)))))),""))),"")</f>
        <v>0</v>
      </c>
      <c r="G23" s="137" t="s">
        <v>206</v>
      </c>
      <c r="H23" s="139">
        <f t="shared" ref="H23" si="18">IFERROR(IF(SUM(IF(D23=0,0,IF(J23="Sick",IF(MINUTE(E23-D23)&gt;29,HOUR(E23-D23)+1,HOUR(E23-D23)),0)),IF(AND(D24&gt;0,D24&lt;=E23),0,IF(OR(E23=0,D24=0),0,IF(J24="Sick",IF(MINUTE(E24-D24)&gt;29,HOUR(E24-D24)+1,HOUR(E24-D24)),0))))=0,0,IF(SUM(IF(J23="Sick",IF(MINUTE(E23-D23)&gt;29,HOUR(E23-D23)+1,HOUR(E23-D23)),0),IF(J24="Sick",IF(MINUTE(E24-D24)&gt;29,HOUR(E24-D24)+1,HOUR(E24-D24)),0))&lt;=6,4,8)),"")</f>
        <v>0</v>
      </c>
      <c r="I23" s="131">
        <f t="shared" ref="I23" si="19">IFERROR(IF(SUM(IF(D23=0,0,IF(J23="Leave",IF(MINUTE(E23-D23)&gt;29,HOUR(E23-D23)+1,HOUR(E23-D23)),0)),IF(AND(D24&gt;0,D24&lt;=E23),0,IF(OR(E23=0,D24=0),0,IF(J24="leave",IF(MINUTE(E24-D24)&gt;29,HOUR(E24-D24)+1,HOUR(E24-D24)),0))))=0,0,IF(SUM(IF(J23="Leave",IF(MINUTE(E23-D23)&gt;29,HOUR(E23-D23)+1,HOUR(E23-D23)),0),IF(J24="leave",IF(MINUTE(E24-D24)&gt;29,HOUR(E24-D24)+1,HOUR(E24-D24)),0))&lt;=6,4,8)),"")</f>
        <v>0</v>
      </c>
      <c r="J23" s="126"/>
      <c r="K23" s="127"/>
      <c r="L23" s="127"/>
      <c r="M23" s="128"/>
      <c r="N23" s="156"/>
      <c r="O23" s="153"/>
      <c r="P23" s="153"/>
      <c r="Q23" s="153"/>
      <c r="R23" s="153"/>
      <c r="U23" s="115"/>
    </row>
    <row r="24" spans="2:21" s="66" customFormat="1" ht="18" customHeight="1" x14ac:dyDescent="0.45">
      <c r="B24" s="155"/>
      <c r="C24" s="136"/>
      <c r="D24" s="39"/>
      <c r="E24" s="39"/>
      <c r="F24" s="132"/>
      <c r="G24" s="138"/>
      <c r="H24" s="139"/>
      <c r="I24" s="132"/>
      <c r="J24" s="126"/>
      <c r="K24" s="127"/>
      <c r="L24" s="127"/>
      <c r="M24" s="128"/>
      <c r="N24" s="153"/>
      <c r="O24" s="153"/>
      <c r="P24" s="153"/>
      <c r="Q24" s="153"/>
      <c r="R24" s="153"/>
      <c r="U24" s="115"/>
    </row>
    <row r="25" spans="2:21" s="66" customFormat="1" ht="18" customHeight="1" x14ac:dyDescent="0.45">
      <c r="B25" s="154" t="str">
        <f t="shared" si="2"/>
        <v>Friday</v>
      </c>
      <c r="C25" s="136">
        <f t="shared" ref="C25" si="20">C23+1</f>
        <v>44750</v>
      </c>
      <c r="D25" s="39"/>
      <c r="E25" s="39"/>
      <c r="F25" s="131">
        <f>IFERROR(IF(D25=0,0,IF(OR(C25=List!$I$4,C25=List!$I$5,C25=List!$I$11,C25=List!$I$6,C25=List!$I$12,C25=List!$I$7,C25=List!$I$13,C25=List!$I$8,C25=List!$I$14,C25=List!$I$9,C25=List!$I$15,C25=List!$I$10,C25=List!$I$16,C25=List!$I$17,C25=List!$I$18,B25="Saturday",B25="Sunday"),
IF($D$2="","",
IF(AND(J25="",D25&gt;0,E25&gt;0),"",
IF(AND(D26&gt;0,E26&gt;0,J26=""),"",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IF(AND(Sheet2!E18&gt;0,Sheet2!E18&lt;=4),4,
IF(AND(Sheet2!E18&gt;4,Sheet2!E18&lt;=8),8,
IF(AND(Sheet2!E18&gt;8,Sheet2!E18&lt;=12),12,
IF(AND(Sheet2!E18&gt;12,Sheet2!E18&lt;=16),16,
IF(AND(Sheet2!E18&gt;16,Sheet2!E18&lt;=20),20,
IF(AND(Sheet2!E18&gt;20,Sheet2!E18&lt;=24),24,"")))))),
IF($D$2="CIFOR",
IF(AND(Sheet2!E18&gt;0,Sheet2!E18&lt;=9),9,
IF(AND(Sheet2!E18&gt;9,Sheet2!E18&lt;=18),18,
IF(AND(Sheet2!E18&gt;18,Sheet2!E18&lt;=24),24,""))),
IF(OR($D$2="Indika"),
IF(AND(Sheet2!E18&gt;0,Sheet2!E18&lt;=24),24,""),
IF(OR($D$2="BCA",$D$2="Bank Permata",$D$2="Sapta sarana Sejahtera (Exim Bank)",$D$2="AIA",$D$2="FIF"),
IF(AND(Sheet2!E18&gt;0,Sheet2!E18&lt;=8),8,
IF(AND(Sheet2!E18&gt;8,Sheet2!E18&lt;=16),16,
IF(AND(Sheet2!E18&gt;16,Sheet2!E18&lt;=24),24,""))),
IF(AND(Sheet2!E18&gt;0,Sheet2!E18&lt;=1),1,
IF(AND(Sheet2!E18&gt;1,Sheet2!E18&lt;=2),2,
IF(AND(Sheet2!E18&gt;2,Sheet2!E18&lt;=3),3,
IF(AND(Sheet2!E18&gt;3,Sheet2!E18&lt;=4),4,
IF(AND(Sheet2!E18&gt;4,Sheet2!E18&lt;=5),5,
IF(AND(Sheet2!E18&gt;5,Sheet2!E18&lt;=6),6,
IF(AND(Sheet2!E18&gt;6,Sheet2!E18&lt;=7),7,
IF(AND(Sheet2!E18&gt;7,Sheet2!E18&lt;=8),8,
IF(AND(Sheet2!E18&gt;8,Sheet2!E18&lt;=9),9,
IF(AND(Sheet2!E18&gt;9,Sheet2!E18&lt;=10),10,
IF(AND(Sheet2!E18&gt;10,Sheet2!E18&lt;=11),11,
IF(AND(Sheet2!E18&gt;11,Sheet2!E18&lt;=12),12,
IF(AND(Sheet2!E18&gt;12,Sheet2!E18&lt;=13),13,
IF(AND(Sheet2!E18&gt;13,Sheet2!E18&lt;=14),14,
IF(AND(Sheet2!E18&gt;14,Sheet2!E18&lt;=15),15,
IF(AND(Sheet2!E18&gt;15,Sheet2!E18&lt;=16),16,
IF(AND(Sheet2!E18&gt;16,Sheet2!E18&lt;=17),17,
IF(AND(Sheet2!E18&gt;17,Sheet2!E18&lt;=18),18,
IF(AND(Sheet2!E18&gt;18,Sheet2!E18&lt;=19),19,
IF(AND(Sheet2!E18&gt;19,Sheet2!E18&lt;=20),20,
IF(AND(Sheet2!E18&gt;20,Sheet2!E18&lt;=21),21,
IF(AND(Sheet2!E18&gt;21,Sheet2!E18&lt;=22),22,
IF(AND(Sheet2!E18&gt;22,Sheet2!E18&lt;=23),23,
IF(AND(Sheet2!E18&gt;23,Sheet2!E18&lt;=24),24,""))))))))))))))))))))))))))))))),
IF(OR(AND(B25="Monday"),
AND(B25="Tuesday"),
AND(B25="Wednesday"),
AND(B25="Thursday"),
AND(B25="Friday")),
IF(SUM(IF(OR(J25="",J25="Leave",J25="sick"),0,IF(MINUTE(E25-D25)&gt;29,HOUR(E25-D25)+1,HOUR(E25-D25))),IF(AND(D26&gt;0,D26&lt;=E25),0,IF(OR(D26=0,J26="",J26="Leave",J26="sick"),0,IF(MINUTE(E26-D26)&gt;29,HOUR(E26-D26)+1,HOUR(E26-D26)))))&gt;4,
SUM(IF(OR(J25="",J25="Leave",J25="sick"),0,IF(MINUTE(E25-D25)&gt;29,HOUR(E25-D25)+1,HOUR(E25-D25))),IF(AND(D26&gt;0,D26&lt;=E25),0,IF(OR(D26=0,J26="",J26="Leave",J26="sick"),0,IF(MINUTE(E26-D26)&gt;29,HOUR(E26-D26)+1,HOUR(E26-D26)))))-1,
SUM(IF(OR(J25="",J25="Leave",J25="sick"),0,IF(MINUTE(E25-D25)&gt;29,HOUR(E25-D25)+1,HOUR(E25-D25))),IF(AND(D26&gt;0,D26&lt;=E25),0,IF(OR(D26=0,J26="",J26="Leave",J26="sick"),0,IF(MINUTE(E26-D26)&gt;29,HOUR(E26-D26)+1,HOUR(E26-D26)))))),""))),"")</f>
        <v>0</v>
      </c>
      <c r="G25" s="137" t="s">
        <v>206</v>
      </c>
      <c r="H25" s="139">
        <f t="shared" ref="H25" si="21">IFERROR(IF(SUM(IF(D25=0,0,IF(J25="Sick",IF(MINUTE(E25-D25)&gt;29,HOUR(E25-D25)+1,HOUR(E25-D25)),0)),IF(AND(D26&gt;0,D26&lt;=E25),0,IF(OR(E25=0,D26=0),0,IF(J26="Sick",IF(MINUTE(E26-D26)&gt;29,HOUR(E26-D26)+1,HOUR(E26-D26)),0))))=0,0,IF(SUM(IF(J25="Sick",IF(MINUTE(E25-D25)&gt;29,HOUR(E25-D25)+1,HOUR(E25-D25)),0),IF(J26="Sick",IF(MINUTE(E26-D26)&gt;29,HOUR(E26-D26)+1,HOUR(E26-D26)),0))&lt;=6,4,8)),"")</f>
        <v>0</v>
      </c>
      <c r="I25" s="131">
        <f t="shared" ref="I25" si="22">IFERROR(IF(SUM(IF(D25=0,0,IF(J25="Leave",IF(MINUTE(E25-D25)&gt;29,HOUR(E25-D25)+1,HOUR(E25-D25)),0)),IF(AND(D26&gt;0,D26&lt;=E25),0,IF(OR(E25=0,D26=0),0,IF(J26="leave",IF(MINUTE(E26-D26)&gt;29,HOUR(E26-D26)+1,HOUR(E26-D26)),0))))=0,0,IF(SUM(IF(J25="Leave",IF(MINUTE(E25-D25)&gt;29,HOUR(E25-D25)+1,HOUR(E25-D25)),0),IF(J26="leave",IF(MINUTE(E26-D26)&gt;29,HOUR(E26-D26)+1,HOUR(E26-D26)),0))&lt;=6,4,8)),"")</f>
        <v>0</v>
      </c>
      <c r="J25" s="126"/>
      <c r="K25" s="127"/>
      <c r="L25" s="127"/>
      <c r="M25" s="128"/>
      <c r="N25" s="153"/>
      <c r="O25" s="153"/>
      <c r="P25" s="153"/>
      <c r="Q25" s="153"/>
      <c r="R25" s="153"/>
      <c r="U25" s="115"/>
    </row>
    <row r="26" spans="2:21" s="66" customFormat="1" ht="18" customHeight="1" x14ac:dyDescent="0.45">
      <c r="B26" s="155"/>
      <c r="C26" s="136"/>
      <c r="D26" s="39"/>
      <c r="E26" s="39"/>
      <c r="F26" s="132"/>
      <c r="G26" s="138"/>
      <c r="H26" s="139"/>
      <c r="I26" s="132"/>
      <c r="J26" s="126"/>
      <c r="K26" s="127"/>
      <c r="L26" s="127"/>
      <c r="M26" s="128"/>
      <c r="N26" s="153"/>
      <c r="O26" s="153"/>
      <c r="P26" s="153"/>
      <c r="Q26" s="153"/>
      <c r="R26" s="153"/>
      <c r="U26" s="115"/>
    </row>
    <row r="27" spans="2:21" s="66" customFormat="1" ht="18" customHeight="1" x14ac:dyDescent="0.45">
      <c r="B27" s="151" t="str">
        <f t="shared" si="2"/>
        <v>Saturday</v>
      </c>
      <c r="C27" s="135">
        <f t="shared" ref="C27" si="23">C25+1</f>
        <v>44751</v>
      </c>
      <c r="D27" s="117"/>
      <c r="E27" s="117"/>
      <c r="F27" s="129">
        <f>IFERROR(IF(D27=0,0,IF(OR(C27=List!$I$4,C27=List!$I$5,C27=List!$I$11,C27=List!$I$6,C27=List!$I$12,C27=List!$I$7,C27=List!$I$13,C27=List!$I$8,C27=List!$I$14,C27=List!$I$9,C27=List!$I$15,C27=List!$I$10,C27=List!$I$16,C27=List!$I$17,C27=List!$I$18,B27="Saturday",B27="Sunday"),
IF($D$2="","",
IF(AND(J27="",D27&gt;0,E27&gt;0),"",
IF(AND(D28&gt;0,E28&gt;0,J28=""),"",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IF(AND(Sheet2!E20&gt;0,Sheet2!E20&lt;=4),4,
IF(AND(Sheet2!E20&gt;4,Sheet2!E20&lt;=8),8,
IF(AND(Sheet2!E20&gt;8,Sheet2!E20&lt;=12),12,
IF(AND(Sheet2!E20&gt;12,Sheet2!E20&lt;=16),16,
IF(AND(Sheet2!E20&gt;16,Sheet2!E20&lt;=20),20,
IF(AND(Sheet2!E20&gt;20,Sheet2!E20&lt;=24),24,"")))))),
IF($D$2="CIFOR",
IF(AND(Sheet2!E20&gt;0,Sheet2!E20&lt;=9),9,
IF(AND(Sheet2!E20&gt;9,Sheet2!E20&lt;=18),18,
IF(AND(Sheet2!E20&gt;18,Sheet2!E20&lt;=24),24,""))),
IF(OR($D$2="Indika"),
IF(AND(Sheet2!E20&gt;0,Sheet2!E20&lt;=24),24,""),
IF(OR($D$2="BCA",$D$2="Bank Permata",$D$2="Sapta sarana Sejahtera (Exim Bank)",$D$2="AIA",$D$2="FIF"),
IF(AND(Sheet2!E20&gt;0,Sheet2!E20&lt;=8),8,
IF(AND(Sheet2!E20&gt;8,Sheet2!E20&lt;=16),16,
IF(AND(Sheet2!E20&gt;16,Sheet2!E20&lt;=24),24,""))),
IF(AND(Sheet2!E20&gt;0,Sheet2!E20&lt;=1),1,
IF(AND(Sheet2!E20&gt;1,Sheet2!E20&lt;=2),2,
IF(AND(Sheet2!E20&gt;2,Sheet2!E20&lt;=3),3,
IF(AND(Sheet2!E20&gt;3,Sheet2!E20&lt;=4),4,
IF(AND(Sheet2!E20&gt;4,Sheet2!E20&lt;=5),5,
IF(AND(Sheet2!E20&gt;5,Sheet2!E20&lt;=6),6,
IF(AND(Sheet2!E20&gt;6,Sheet2!E20&lt;=7),7,
IF(AND(Sheet2!E20&gt;7,Sheet2!E20&lt;=8),8,
IF(AND(Sheet2!E20&gt;8,Sheet2!E20&lt;=9),9,
IF(AND(Sheet2!E20&gt;9,Sheet2!E20&lt;=10),10,
IF(AND(Sheet2!E20&gt;10,Sheet2!E20&lt;=11),11,
IF(AND(Sheet2!E20&gt;11,Sheet2!E20&lt;=12),12,
IF(AND(Sheet2!E20&gt;12,Sheet2!E20&lt;=13),13,
IF(AND(Sheet2!E20&gt;13,Sheet2!E20&lt;=14),14,
IF(AND(Sheet2!E20&gt;14,Sheet2!E20&lt;=15),15,
IF(AND(Sheet2!E20&gt;15,Sheet2!E20&lt;=16),16,
IF(AND(Sheet2!E20&gt;16,Sheet2!E20&lt;=17),17,
IF(AND(Sheet2!E20&gt;17,Sheet2!E20&lt;=18),18,
IF(AND(Sheet2!E20&gt;18,Sheet2!E20&lt;=19),19,
IF(AND(Sheet2!E20&gt;19,Sheet2!E20&lt;=20),20,
IF(AND(Sheet2!E20&gt;20,Sheet2!E20&lt;=21),21,
IF(AND(Sheet2!E20&gt;21,Sheet2!E20&lt;=22),22,
IF(AND(Sheet2!E20&gt;22,Sheet2!E20&lt;=23),23,
IF(AND(Sheet2!E20&gt;23,Sheet2!E20&lt;=24),24,""))))))))))))))))))))))))))))))),
IF(OR(AND(B27="Monday"),
AND(B27="Tuesday"),
AND(B27="Wednesday"),
AND(B27="Thursday"),
AND(B27="Friday")),
IF(SUM(IF(OR(J27="",J27="Leave",J27="sick"),0,IF(MINUTE(E27-D27)&gt;29,HOUR(E27-D27)+1,HOUR(E27-D27))),IF(AND(D28&gt;0,D28&lt;=E27),0,IF(OR(D28=0,J28="",J28="Leave",J28="sick"),0,IF(MINUTE(E28-D28)&gt;29,HOUR(E28-D28)+1,HOUR(E28-D28)))))&gt;4,
SUM(IF(OR(J27="",J27="Leave",J27="sick"),0,IF(MINUTE(E27-D27)&gt;29,HOUR(E27-D27)+1,HOUR(E27-D27))),IF(AND(D28&gt;0,D28&lt;=E27),0,IF(OR(D28=0,J28="",J28="Leave",J28="sick"),0,IF(MINUTE(E28-D28)&gt;29,HOUR(E28-D28)+1,HOUR(E28-D28)))))-1,
SUM(IF(OR(J27="",J27="Leave",J27="sick"),0,IF(MINUTE(E27-D27)&gt;29,HOUR(E27-D27)+1,HOUR(E27-D27))),IF(AND(D28&gt;0,D28&lt;=E27),0,IF(OR(D28=0,J28="",J28="Leave",J28="sick"),0,IF(MINUTE(E28-D28)&gt;29,HOUR(E28-D28)+1,HOUR(E28-D28)))))),""))),"")</f>
        <v>0</v>
      </c>
      <c r="G27" s="143" t="s">
        <v>206</v>
      </c>
      <c r="H27" s="140">
        <f t="shared" ref="H27" si="24">IFERROR(IF(SUM(IF(D27=0,0,IF(J27="Sick",IF(MINUTE(E27-D27)&gt;29,HOUR(E27-D27)+1,HOUR(E27-D27)),0)),IF(AND(D28&gt;0,D28&lt;=E27),0,IF(OR(E27=0,D28=0),0,IF(J28="Sick",IF(MINUTE(E28-D28)&gt;29,HOUR(E28-D28)+1,HOUR(E28-D28)),0))))=0,0,IF(SUM(IF(J27="Sick",IF(MINUTE(E27-D27)&gt;29,HOUR(E27-D27)+1,HOUR(E27-D27)),0),IF(J28="Sick",IF(MINUTE(E28-D28)&gt;29,HOUR(E28-D28)+1,HOUR(E28-D28)),0))&lt;=6,4,8)),"")</f>
        <v>0</v>
      </c>
      <c r="I27" s="129">
        <f t="shared" ref="I27" si="25">IFERROR(IF(SUM(IF(D27=0,0,IF(J27="Leave",IF(MINUTE(E27-D27)&gt;29,HOUR(E27-D27)+1,HOUR(E27-D27)),0)),IF(AND(D28&gt;0,D28&lt;=E27),0,IF(OR(E27=0,D28=0),0,IF(J28="leave",IF(MINUTE(E28-D28)&gt;29,HOUR(E28-D28)+1,HOUR(E28-D28)),0))))=0,0,IF(SUM(IF(J27="Leave",IF(MINUTE(E27-D27)&gt;29,HOUR(E27-D27)+1,HOUR(E27-D27)),0),IF(J28="leave",IF(MINUTE(E28-D28)&gt;29,HOUR(E28-D28)+1,HOUR(E28-D28)),0))&lt;=6,4,8)),"")</f>
        <v>0</v>
      </c>
      <c r="J27" s="123"/>
      <c r="K27" s="124"/>
      <c r="L27" s="124"/>
      <c r="M27" s="125"/>
      <c r="N27" s="157"/>
      <c r="O27" s="157"/>
      <c r="P27" s="157"/>
      <c r="Q27" s="157"/>
      <c r="R27" s="157"/>
      <c r="U27" s="115"/>
    </row>
    <row r="28" spans="2:21" s="66" customFormat="1" ht="18" customHeight="1" x14ac:dyDescent="0.45">
      <c r="B28" s="152"/>
      <c r="C28" s="135"/>
      <c r="D28" s="117"/>
      <c r="E28" s="117"/>
      <c r="F28" s="130"/>
      <c r="G28" s="144"/>
      <c r="H28" s="140"/>
      <c r="I28" s="130"/>
      <c r="J28" s="123"/>
      <c r="K28" s="124"/>
      <c r="L28" s="124"/>
      <c r="M28" s="125"/>
      <c r="N28" s="157"/>
      <c r="O28" s="157"/>
      <c r="P28" s="157"/>
      <c r="Q28" s="157"/>
      <c r="R28" s="157"/>
      <c r="U28" s="115"/>
    </row>
    <row r="29" spans="2:21" s="66" customFormat="1" ht="18" customHeight="1" x14ac:dyDescent="0.45">
      <c r="B29" s="151" t="str">
        <f t="shared" si="2"/>
        <v>Sunday</v>
      </c>
      <c r="C29" s="135">
        <f t="shared" ref="C29" si="26">C27+1</f>
        <v>44752</v>
      </c>
      <c r="D29" s="117"/>
      <c r="E29" s="117"/>
      <c r="F29" s="129">
        <f>IFERROR(IF(D29=0,0,IF(OR(C29=List!$I$4,C29=List!$I$5,C29=List!$I$11,C29=List!$I$6,C29=List!$I$12,C29=List!$I$7,C29=List!$I$13,C29=List!$I$8,C29=List!$I$14,C29=List!$I$9,C29=List!$I$15,C29=List!$I$10,C29=List!$I$16,C29=List!$I$17,C29=List!$I$18,B29="Saturday",B29="Sunday"),
IF($D$2="","",
IF(AND(J29="",D29&gt;0,E29&gt;0),"",
IF(AND(D30&gt;0,E30&gt;0,J30=""),"",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IF(AND(Sheet2!E22&gt;0,Sheet2!E22&lt;=4),4,
IF(AND(Sheet2!E22&gt;4,Sheet2!E22&lt;=8),8,
IF(AND(Sheet2!E22&gt;8,Sheet2!E22&lt;=12),12,
IF(AND(Sheet2!E22&gt;12,Sheet2!E22&lt;=16),16,
IF(AND(Sheet2!E22&gt;16,Sheet2!E22&lt;=20),20,
IF(AND(Sheet2!E22&gt;20,Sheet2!E22&lt;=24),24,"")))))),
IF($D$2="CIFOR",
IF(AND(Sheet2!E22&gt;0,Sheet2!E22&lt;=9),9,
IF(AND(Sheet2!E22&gt;9,Sheet2!E22&lt;=18),18,
IF(AND(Sheet2!E22&gt;18,Sheet2!E22&lt;=24),24,""))),
IF(OR($D$2="Indika"),
IF(AND(Sheet2!E22&gt;0,Sheet2!E22&lt;=24),24,""),
IF(OR($D$2="BCA",$D$2="Bank Permata",$D$2="Sapta sarana Sejahtera (Exim Bank)",$D$2="AIA",$D$2="FIF"),
IF(AND(Sheet2!E22&gt;0,Sheet2!E22&lt;=8),8,
IF(AND(Sheet2!E22&gt;8,Sheet2!E22&lt;=16),16,
IF(AND(Sheet2!E22&gt;16,Sheet2!E22&lt;=24),24,""))),
IF(AND(Sheet2!E22&gt;0,Sheet2!E22&lt;=1),1,
IF(AND(Sheet2!E22&gt;1,Sheet2!E22&lt;=2),2,
IF(AND(Sheet2!E22&gt;2,Sheet2!E22&lt;=3),3,
IF(AND(Sheet2!E22&gt;3,Sheet2!E22&lt;=4),4,
IF(AND(Sheet2!E22&gt;4,Sheet2!E22&lt;=5),5,
IF(AND(Sheet2!E22&gt;5,Sheet2!E22&lt;=6),6,
IF(AND(Sheet2!E22&gt;6,Sheet2!E22&lt;=7),7,
IF(AND(Sheet2!E22&gt;7,Sheet2!E22&lt;=8),8,
IF(AND(Sheet2!E22&gt;8,Sheet2!E22&lt;=9),9,
IF(AND(Sheet2!E22&gt;9,Sheet2!E22&lt;=10),10,
IF(AND(Sheet2!E22&gt;10,Sheet2!E22&lt;=11),11,
IF(AND(Sheet2!E22&gt;11,Sheet2!E22&lt;=12),12,
IF(AND(Sheet2!E22&gt;12,Sheet2!E22&lt;=13),13,
IF(AND(Sheet2!E22&gt;13,Sheet2!E22&lt;=14),14,
IF(AND(Sheet2!E22&gt;14,Sheet2!E22&lt;=15),15,
IF(AND(Sheet2!E22&gt;15,Sheet2!E22&lt;=16),16,
IF(AND(Sheet2!E22&gt;16,Sheet2!E22&lt;=17),17,
IF(AND(Sheet2!E22&gt;17,Sheet2!E22&lt;=18),18,
IF(AND(Sheet2!E22&gt;18,Sheet2!E22&lt;=19),19,
IF(AND(Sheet2!E22&gt;19,Sheet2!E22&lt;=20),20,
IF(AND(Sheet2!E22&gt;20,Sheet2!E22&lt;=21),21,
IF(AND(Sheet2!E22&gt;21,Sheet2!E22&lt;=22),22,
IF(AND(Sheet2!E22&gt;22,Sheet2!E22&lt;=23),23,
IF(AND(Sheet2!E22&gt;23,Sheet2!E22&lt;=24),24,""))))))))))))))))))))))))))))))),
IF(OR(AND(B29="Monday"),
AND(B29="Tuesday"),
AND(B29="Wednesday"),
AND(B29="Thursday"),
AND(B29="Friday")),
IF(SUM(IF(OR(J29="",J29="Leave",J29="sick"),0,IF(MINUTE(E29-D29)&gt;29,HOUR(E29-D29)+1,HOUR(E29-D29))),IF(AND(D30&gt;0,D30&lt;=E29),0,IF(OR(D30=0,J30="",J30="Leave",J30="sick"),0,IF(MINUTE(E30-D30)&gt;29,HOUR(E30-D30)+1,HOUR(E30-D30)))))&gt;4,
SUM(IF(OR(J29="",J29="Leave",J29="sick"),0,IF(MINUTE(E29-D29)&gt;29,HOUR(E29-D29)+1,HOUR(E29-D29))),IF(AND(D30&gt;0,D30&lt;=E29),0,IF(OR(D30=0,J30="",J30="Leave",J30="sick"),0,IF(MINUTE(E30-D30)&gt;29,HOUR(E30-D30)+1,HOUR(E30-D30)))))-1,
SUM(IF(OR(J29="",J29="Leave",J29="sick"),0,IF(MINUTE(E29-D29)&gt;29,HOUR(E29-D29)+1,HOUR(E29-D29))),IF(AND(D30&gt;0,D30&lt;=E29),0,IF(OR(D30=0,J30="",J30="Leave",J30="sick"),0,IF(MINUTE(E30-D30)&gt;29,HOUR(E30-D30)+1,HOUR(E30-D30)))))),""))),"")</f>
        <v>0</v>
      </c>
      <c r="G29" s="143" t="s">
        <v>206</v>
      </c>
      <c r="H29" s="140">
        <f t="shared" ref="H29" si="27">IFERROR(IF(SUM(IF(D29=0,0,IF(J29="Sick",IF(MINUTE(E29-D29)&gt;29,HOUR(E29-D29)+1,HOUR(E29-D29)),0)),IF(AND(D30&gt;0,D30&lt;=E29),0,IF(OR(E29=0,D30=0),0,IF(J30="Sick",IF(MINUTE(E30-D30)&gt;29,HOUR(E30-D30)+1,HOUR(E30-D30)),0))))=0,0,IF(SUM(IF(J29="Sick",IF(MINUTE(E29-D29)&gt;29,HOUR(E29-D29)+1,HOUR(E29-D29)),0),IF(J30="Sick",IF(MINUTE(E30-D30)&gt;29,HOUR(E30-D30)+1,HOUR(E30-D30)),0))&lt;=6,4,8)),"")</f>
        <v>0</v>
      </c>
      <c r="I29" s="129">
        <f t="shared" ref="I29" si="28">IFERROR(IF(SUM(IF(D29=0,0,IF(J29="Leave",IF(MINUTE(E29-D29)&gt;29,HOUR(E29-D29)+1,HOUR(E29-D29)),0)),IF(AND(D30&gt;0,D30&lt;=E29),0,IF(OR(E29=0,D30=0),0,IF(J30="leave",IF(MINUTE(E30-D30)&gt;29,HOUR(E30-D30)+1,HOUR(E30-D30)),0))))=0,0,IF(SUM(IF(J29="Leave",IF(MINUTE(E29-D29)&gt;29,HOUR(E29-D29)+1,HOUR(E29-D29)),0),IF(J30="leave",IF(MINUTE(E30-D30)&gt;29,HOUR(E30-D30)+1,HOUR(E30-D30)),0))&lt;=6,4,8)),"")</f>
        <v>0</v>
      </c>
      <c r="J29" s="123"/>
      <c r="K29" s="124"/>
      <c r="L29" s="124"/>
      <c r="M29" s="125"/>
      <c r="N29" s="158"/>
      <c r="O29" s="157"/>
      <c r="P29" s="157"/>
      <c r="Q29" s="157"/>
      <c r="R29" s="157"/>
      <c r="U29" s="115"/>
    </row>
    <row r="30" spans="2:21" s="66" customFormat="1" ht="18" customHeight="1" x14ac:dyDescent="0.45">
      <c r="B30" s="152"/>
      <c r="C30" s="135"/>
      <c r="D30" s="117"/>
      <c r="E30" s="117"/>
      <c r="F30" s="130"/>
      <c r="G30" s="144"/>
      <c r="H30" s="140"/>
      <c r="I30" s="130"/>
      <c r="J30" s="123"/>
      <c r="K30" s="124"/>
      <c r="L30" s="124"/>
      <c r="M30" s="125"/>
      <c r="N30" s="157"/>
      <c r="O30" s="157"/>
      <c r="P30" s="157"/>
      <c r="Q30" s="157"/>
      <c r="R30" s="157"/>
      <c r="U30" s="115"/>
    </row>
    <row r="31" spans="2:21" s="66" customFormat="1" ht="18" customHeight="1" x14ac:dyDescent="0.45">
      <c r="B31" s="154" t="str">
        <f t="shared" si="2"/>
        <v>Monday</v>
      </c>
      <c r="C31" s="136">
        <f t="shared" ref="C31" si="29">C29+1</f>
        <v>44753</v>
      </c>
      <c r="D31" s="39"/>
      <c r="E31" s="39"/>
      <c r="F31" s="131">
        <f>IFERROR(IF(D31=0,0,IF(OR(C31=List!$I$4,C31=List!$I$5,C31=List!$I$11,C31=List!$I$6,C31=List!$I$12,C31=List!$I$7,C31=List!$I$13,C31=List!$I$8,C31=List!$I$14,C31=List!$I$9,C31=List!$I$15,C31=List!$I$10,C31=List!$I$16,C31=List!$I$17,C31=List!$I$18,B31="Saturday",B31="Sunday"),
IF($D$2="","",
IF(AND(J31="",D31&gt;0,E31&gt;0),"",
IF(AND(D32&gt;0,E32&gt;0,J32=""),"",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IF(AND(Sheet2!E24&gt;0,Sheet2!E24&lt;=4),4,
IF(AND(Sheet2!E24&gt;4,Sheet2!E24&lt;=8),8,
IF(AND(Sheet2!E24&gt;8,Sheet2!E24&lt;=12),12,
IF(AND(Sheet2!E24&gt;12,Sheet2!E24&lt;=16),16,
IF(AND(Sheet2!E24&gt;16,Sheet2!E24&lt;=20),20,
IF(AND(Sheet2!E24&gt;20,Sheet2!E24&lt;=24),24,"")))))),
IF($D$2="CIFOR",
IF(AND(Sheet2!E24&gt;0,Sheet2!E24&lt;=9),9,
IF(AND(Sheet2!E24&gt;9,Sheet2!E24&lt;=18),18,
IF(AND(Sheet2!E24&gt;18,Sheet2!E24&lt;=24),24,""))),
IF(OR($D$2="Indika"),
IF(AND(Sheet2!E24&gt;0,Sheet2!E24&lt;=24),24,""),
IF(OR($D$2="BCA",$D$2="Bank Permata",$D$2="Sapta sarana Sejahtera (Exim Bank)",$D$2="AIA",$D$2="FIF"),
IF(AND(Sheet2!E24&gt;0,Sheet2!E24&lt;=8),8,
IF(AND(Sheet2!E24&gt;8,Sheet2!E24&lt;=16),16,
IF(AND(Sheet2!E24&gt;16,Sheet2!E24&lt;=24),24,""))),
IF(AND(Sheet2!E24&gt;0,Sheet2!E24&lt;=1),1,
IF(AND(Sheet2!E24&gt;1,Sheet2!E24&lt;=2),2,
IF(AND(Sheet2!E24&gt;2,Sheet2!E24&lt;=3),3,
IF(AND(Sheet2!E24&gt;3,Sheet2!E24&lt;=4),4,
IF(AND(Sheet2!E24&gt;4,Sheet2!E24&lt;=5),5,
IF(AND(Sheet2!E24&gt;5,Sheet2!E24&lt;=6),6,
IF(AND(Sheet2!E24&gt;6,Sheet2!E24&lt;=7),7,
IF(AND(Sheet2!E24&gt;7,Sheet2!E24&lt;=8),8,
IF(AND(Sheet2!E24&gt;8,Sheet2!E24&lt;=9),9,
IF(AND(Sheet2!E24&gt;9,Sheet2!E24&lt;=10),10,
IF(AND(Sheet2!E24&gt;10,Sheet2!E24&lt;=11),11,
IF(AND(Sheet2!E24&gt;11,Sheet2!E24&lt;=12),12,
IF(AND(Sheet2!E24&gt;12,Sheet2!E24&lt;=13),13,
IF(AND(Sheet2!E24&gt;13,Sheet2!E24&lt;=14),14,
IF(AND(Sheet2!E24&gt;14,Sheet2!E24&lt;=15),15,
IF(AND(Sheet2!E24&gt;15,Sheet2!E24&lt;=16),16,
IF(AND(Sheet2!E24&gt;16,Sheet2!E24&lt;=17),17,
IF(AND(Sheet2!E24&gt;17,Sheet2!E24&lt;=18),18,
IF(AND(Sheet2!E24&gt;18,Sheet2!E24&lt;=19),19,
IF(AND(Sheet2!E24&gt;19,Sheet2!E24&lt;=20),20,
IF(AND(Sheet2!E24&gt;20,Sheet2!E24&lt;=21),21,
IF(AND(Sheet2!E24&gt;21,Sheet2!E24&lt;=22),22,
IF(AND(Sheet2!E24&gt;22,Sheet2!E24&lt;=23),23,
IF(AND(Sheet2!E24&gt;23,Sheet2!E24&lt;=24),24,""))))))))))))))))))))))))))))))),
IF(OR(AND(B31="Monday"),
AND(B31="Tuesday"),
AND(B31="Wednesday"),
AND(B31="Thursday"),
AND(B31="Friday")),
IF(SUM(IF(OR(J31="",J31="Leave",J31="sick"),0,IF(MINUTE(E31-D31)&gt;29,HOUR(E31-D31)+1,HOUR(E31-D31))),IF(AND(D32&gt;0,D32&lt;=E31),0,IF(OR(D32=0,J32="",J32="Leave",J32="sick"),0,IF(MINUTE(E32-D32)&gt;29,HOUR(E32-D32)+1,HOUR(E32-D32)))))&gt;4,
SUM(IF(OR(J31="",J31="Leave",J31="sick"),0,IF(MINUTE(E31-D31)&gt;29,HOUR(E31-D31)+1,HOUR(E31-D31))),IF(AND(D32&gt;0,D32&lt;=E31),0,IF(OR(D32=0,J32="",J32="Leave",J32="sick"),0,IF(MINUTE(E32-D32)&gt;29,HOUR(E32-D32)+1,HOUR(E32-D32)))))-1,
SUM(IF(OR(J31="",J31="Leave",J31="sick"),0,IF(MINUTE(E31-D31)&gt;29,HOUR(E31-D31)+1,HOUR(E31-D31))),IF(AND(D32&gt;0,D32&lt;=E31),0,IF(OR(D32=0,J32="",J32="Leave",J32="sick"),0,IF(MINUTE(E32-D32)&gt;29,HOUR(E32-D32)+1,HOUR(E32-D32)))))),""))),"")</f>
        <v>0</v>
      </c>
      <c r="G31" s="137" t="s">
        <v>206</v>
      </c>
      <c r="H31" s="139">
        <f t="shared" ref="H31" si="30">IFERROR(IF(SUM(IF(D31=0,0,IF(J31="Sick",IF(MINUTE(E31-D31)&gt;29,HOUR(E31-D31)+1,HOUR(E31-D31)),0)),IF(AND(D32&gt;0,D32&lt;=E31),0,IF(OR(E31=0,D32=0),0,IF(J32="Sick",IF(MINUTE(E32-D32)&gt;29,HOUR(E32-D32)+1,HOUR(E32-D32)),0))))=0,0,IF(SUM(IF(J31="Sick",IF(MINUTE(E31-D31)&gt;29,HOUR(E31-D31)+1,HOUR(E31-D31)),0),IF(J32="Sick",IF(MINUTE(E32-D32)&gt;29,HOUR(E32-D32)+1,HOUR(E32-D32)),0))&lt;=6,4,8)),"")</f>
        <v>0</v>
      </c>
      <c r="I31" s="131">
        <f t="shared" ref="I31" si="31">IFERROR(IF(SUM(IF(D31=0,0,IF(J31="Leave",IF(MINUTE(E31-D31)&gt;29,HOUR(E31-D31)+1,HOUR(E31-D31)),0)),IF(AND(D32&gt;0,D32&lt;=E31),0,IF(OR(E31=0,D32=0),0,IF(J32="leave",IF(MINUTE(E32-D32)&gt;29,HOUR(E32-D32)+1,HOUR(E32-D32)),0))))=0,0,IF(SUM(IF(J31="Leave",IF(MINUTE(E31-D31)&gt;29,HOUR(E31-D31)+1,HOUR(E31-D31)),0),IF(J32="leave",IF(MINUTE(E32-D32)&gt;29,HOUR(E32-D32)+1,HOUR(E32-D32)),0))&lt;=6,4,8)),"")</f>
        <v>0</v>
      </c>
      <c r="J31" s="126"/>
      <c r="K31" s="127"/>
      <c r="L31" s="127"/>
      <c r="M31" s="128"/>
      <c r="N31" s="156"/>
      <c r="O31" s="153"/>
      <c r="P31" s="153"/>
      <c r="Q31" s="153"/>
      <c r="R31" s="153"/>
      <c r="U31" s="115"/>
    </row>
    <row r="32" spans="2:21" s="66" customFormat="1" ht="18" customHeight="1" x14ac:dyDescent="0.45">
      <c r="B32" s="155"/>
      <c r="C32" s="136"/>
      <c r="D32" s="39"/>
      <c r="E32" s="39"/>
      <c r="F32" s="132"/>
      <c r="G32" s="138"/>
      <c r="H32" s="139"/>
      <c r="I32" s="132"/>
      <c r="J32" s="126"/>
      <c r="K32" s="127"/>
      <c r="L32" s="127"/>
      <c r="M32" s="128"/>
      <c r="N32" s="156"/>
      <c r="O32" s="153"/>
      <c r="P32" s="153"/>
      <c r="Q32" s="153"/>
      <c r="R32" s="153"/>
      <c r="U32" s="115"/>
    </row>
    <row r="33" spans="2:21" s="66" customFormat="1" ht="18" customHeight="1" x14ac:dyDescent="0.45">
      <c r="B33" s="154" t="str">
        <f t="shared" si="2"/>
        <v>Tuesday</v>
      </c>
      <c r="C33" s="136">
        <f t="shared" ref="C33" si="32">C31+1</f>
        <v>44754</v>
      </c>
      <c r="D33" s="39"/>
      <c r="E33" s="39"/>
      <c r="F33" s="131">
        <f>IFERROR(IF(D33=0,0,IF(OR(C33=List!$I$4,C33=List!$I$5,C33=List!$I$11,C33=List!$I$6,C33=List!$I$12,C33=List!$I$7,C33=List!$I$13,C33=List!$I$8,C33=List!$I$14,C33=List!$I$9,C33=List!$I$15,C33=List!$I$10,C33=List!$I$16,C33=List!$I$17,C33=List!$I$18,B33="Saturday",B33="Sunday"),
IF($D$2="","",
IF(AND(J33="",D33&gt;0,E33&gt;0),"",
IF(AND(D34&gt;0,E34&gt;0,J34=""),"",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IF(AND(Sheet2!E26&gt;0,Sheet2!E26&lt;=4),4,
IF(AND(Sheet2!E26&gt;4,Sheet2!E26&lt;=8),8,
IF(AND(Sheet2!E26&gt;8,Sheet2!E26&lt;=12),12,
IF(AND(Sheet2!E26&gt;12,Sheet2!E26&lt;=16),16,
IF(AND(Sheet2!E26&gt;16,Sheet2!E26&lt;=20),20,
IF(AND(Sheet2!E26&gt;20,Sheet2!E26&lt;=24),24,"")))))),
IF($D$2="CIFOR",
IF(AND(Sheet2!E26&gt;0,Sheet2!E26&lt;=9),9,
IF(AND(Sheet2!E26&gt;9,Sheet2!E26&lt;=18),18,
IF(AND(Sheet2!E26&gt;18,Sheet2!E26&lt;=24),24,""))),
IF(OR($D$2="Indika"),
IF(AND(Sheet2!E26&gt;0,Sheet2!E26&lt;=24),24,""),
IF(OR($D$2="BCA",$D$2="Bank Permata",$D$2="Sapta sarana Sejahtera (Exim Bank)",$D$2="AIA",$D$2="FIF"),
IF(AND(Sheet2!E26&gt;0,Sheet2!E26&lt;=8),8,
IF(AND(Sheet2!E26&gt;8,Sheet2!E26&lt;=16),16,
IF(AND(Sheet2!E26&gt;16,Sheet2!E26&lt;=24),24,""))),
IF(AND(Sheet2!E26&gt;0,Sheet2!E26&lt;=1),1,
IF(AND(Sheet2!E26&gt;1,Sheet2!E26&lt;=2),2,
IF(AND(Sheet2!E26&gt;2,Sheet2!E26&lt;=3),3,
IF(AND(Sheet2!E26&gt;3,Sheet2!E26&lt;=4),4,
IF(AND(Sheet2!E26&gt;4,Sheet2!E26&lt;=5),5,
IF(AND(Sheet2!E26&gt;5,Sheet2!E26&lt;=6),6,
IF(AND(Sheet2!E26&gt;6,Sheet2!E26&lt;=7),7,
IF(AND(Sheet2!E26&gt;7,Sheet2!E26&lt;=8),8,
IF(AND(Sheet2!E26&gt;8,Sheet2!E26&lt;=9),9,
IF(AND(Sheet2!E26&gt;9,Sheet2!E26&lt;=10),10,
IF(AND(Sheet2!E26&gt;10,Sheet2!E26&lt;=11),11,
IF(AND(Sheet2!E26&gt;11,Sheet2!E26&lt;=12),12,
IF(AND(Sheet2!E26&gt;12,Sheet2!E26&lt;=13),13,
IF(AND(Sheet2!E26&gt;13,Sheet2!E26&lt;=14),14,
IF(AND(Sheet2!E26&gt;14,Sheet2!E26&lt;=15),15,
IF(AND(Sheet2!E26&gt;15,Sheet2!E26&lt;=16),16,
IF(AND(Sheet2!E26&gt;16,Sheet2!E26&lt;=17),17,
IF(AND(Sheet2!E26&gt;17,Sheet2!E26&lt;=18),18,
IF(AND(Sheet2!E26&gt;18,Sheet2!E26&lt;=19),19,
IF(AND(Sheet2!E26&gt;19,Sheet2!E26&lt;=20),20,
IF(AND(Sheet2!E26&gt;20,Sheet2!E26&lt;=21),21,
IF(AND(Sheet2!E26&gt;21,Sheet2!E26&lt;=22),22,
IF(AND(Sheet2!E26&gt;22,Sheet2!E26&lt;=23),23,
IF(AND(Sheet2!E26&gt;23,Sheet2!E26&lt;=24),24,""))))))))))))))))))))))))))))))),
IF(OR(AND(B33="Monday"),
AND(B33="Tuesday"),
AND(B33="Wednesday"),
AND(B33="Thursday"),
AND(B33="Friday")),
IF(SUM(IF(OR(J33="",J33="Leave",J33="sick"),0,IF(MINUTE(E33-D33)&gt;29,HOUR(E33-D33)+1,HOUR(E33-D33))),IF(AND(D34&gt;0,D34&lt;=E33),0,IF(OR(D34=0,J34="",J34="Leave",J34="sick"),0,IF(MINUTE(E34-D34)&gt;29,HOUR(E34-D34)+1,HOUR(E34-D34)))))&gt;4,
SUM(IF(OR(J33="",J33="Leave",J33="sick"),0,IF(MINUTE(E33-D33)&gt;29,HOUR(E33-D33)+1,HOUR(E33-D33))),IF(AND(D34&gt;0,D34&lt;=E33),0,IF(OR(D34=0,J34="",J34="Leave",J34="sick"),0,IF(MINUTE(E34-D34)&gt;29,HOUR(E34-D34)+1,HOUR(E34-D34)))))-1,
SUM(IF(OR(J33="",J33="Leave",J33="sick"),0,IF(MINUTE(E33-D33)&gt;29,HOUR(E33-D33)+1,HOUR(E33-D33))),IF(AND(D34&gt;0,D34&lt;=E33),0,IF(OR(D34=0,J34="",J34="Leave",J34="sick"),0,IF(MINUTE(E34-D34)&gt;29,HOUR(E34-D34)+1,HOUR(E34-D34)))))),""))),"")</f>
        <v>0</v>
      </c>
      <c r="G33" s="137" t="s">
        <v>206</v>
      </c>
      <c r="H33" s="139">
        <f t="shared" ref="H33" si="33">IFERROR(IF(SUM(IF(D33=0,0,IF(J33="Sick",IF(MINUTE(E33-D33)&gt;29,HOUR(E33-D33)+1,HOUR(E33-D33)),0)),IF(AND(D34&gt;0,D34&lt;=E33),0,IF(OR(E33=0,D34=0),0,IF(J34="Sick",IF(MINUTE(E34-D34)&gt;29,HOUR(E34-D34)+1,HOUR(E34-D34)),0))))=0,0,IF(SUM(IF(J33="Sick",IF(MINUTE(E33-D33)&gt;29,HOUR(E33-D33)+1,HOUR(E33-D33)),0),IF(J34="Sick",IF(MINUTE(E34-D34)&gt;29,HOUR(E34-D34)+1,HOUR(E34-D34)),0))&lt;=6,4,8)),"")</f>
        <v>0</v>
      </c>
      <c r="I33" s="131">
        <f t="shared" ref="I33" si="34">IFERROR(IF(SUM(IF(D33=0,0,IF(J33="Leave",IF(MINUTE(E33-D33)&gt;29,HOUR(E33-D33)+1,HOUR(E33-D33)),0)),IF(AND(D34&gt;0,D34&lt;=E33),0,IF(OR(E33=0,D34=0),0,IF(J34="leave",IF(MINUTE(E34-D34)&gt;29,HOUR(E34-D34)+1,HOUR(E34-D34)),0))))=0,0,IF(SUM(IF(J33="Leave",IF(MINUTE(E33-D33)&gt;29,HOUR(E33-D33)+1,HOUR(E33-D33)),0),IF(J34="leave",IF(MINUTE(E34-D34)&gt;29,HOUR(E34-D34)+1,HOUR(E34-D34)),0))&lt;=6,4,8)),"")</f>
        <v>0</v>
      </c>
      <c r="J33" s="126"/>
      <c r="K33" s="127"/>
      <c r="L33" s="127"/>
      <c r="M33" s="128"/>
      <c r="N33" s="156"/>
      <c r="O33" s="153"/>
      <c r="P33" s="153"/>
      <c r="Q33" s="153"/>
      <c r="R33" s="153"/>
      <c r="U33" s="115"/>
    </row>
    <row r="34" spans="2:21" s="66" customFormat="1" ht="18" customHeight="1" x14ac:dyDescent="0.45">
      <c r="B34" s="155"/>
      <c r="C34" s="136"/>
      <c r="D34" s="39"/>
      <c r="E34" s="39"/>
      <c r="F34" s="132"/>
      <c r="G34" s="138"/>
      <c r="H34" s="139"/>
      <c r="I34" s="132"/>
      <c r="J34" s="126"/>
      <c r="K34" s="127"/>
      <c r="L34" s="127"/>
      <c r="M34" s="128"/>
      <c r="N34" s="156"/>
      <c r="O34" s="153"/>
      <c r="P34" s="153"/>
      <c r="Q34" s="153"/>
      <c r="R34" s="153"/>
      <c r="U34" s="115"/>
    </row>
    <row r="35" spans="2:21" s="66" customFormat="1" ht="18" customHeight="1" x14ac:dyDescent="0.45">
      <c r="B35" s="154" t="str">
        <f t="shared" si="2"/>
        <v>Wednesday</v>
      </c>
      <c r="C35" s="136">
        <f t="shared" ref="C35" si="35">C33+1</f>
        <v>44755</v>
      </c>
      <c r="D35" s="39"/>
      <c r="E35" s="39"/>
      <c r="F35" s="131">
        <f>IFERROR(IF(D35=0,0,IF(OR(C35=List!$I$4,C35=List!$I$5,C35=List!$I$11,C35=List!$I$6,C35=List!$I$12,C35=List!$I$7,C35=List!$I$13,C35=List!$I$8,C35=List!$I$14,C35=List!$I$9,C35=List!$I$15,C35=List!$I$10,C35=List!$I$16,C35=List!$I$17,C35=List!$I$18,B35="Saturday",B35="Sunday"),
IF($D$2="","",
IF(AND(J35="",D35&gt;0,E35&gt;0),"",
IF(AND(D36&gt;0,E36&gt;0,J36=""),"",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IF(AND(Sheet2!E28&gt;0,Sheet2!E28&lt;=4),4,
IF(AND(Sheet2!E28&gt;4,Sheet2!E28&lt;=8),8,
IF(AND(Sheet2!E28&gt;8,Sheet2!E28&lt;=12),12,
IF(AND(Sheet2!E28&gt;12,Sheet2!E28&lt;=16),16,
IF(AND(Sheet2!E28&gt;16,Sheet2!E28&lt;=20),20,
IF(AND(Sheet2!E28&gt;20,Sheet2!E28&lt;=24),24,"")))))),
IF($D$2="CIFOR",
IF(AND(Sheet2!E28&gt;0,Sheet2!E28&lt;=9),9,
IF(AND(Sheet2!E28&gt;9,Sheet2!E28&lt;=18),18,
IF(AND(Sheet2!E28&gt;18,Sheet2!E28&lt;=24),24,""))),
IF(OR($D$2="Indika"),
IF(AND(Sheet2!E28&gt;0,Sheet2!E28&lt;=24),24,""),
IF(OR($D$2="BCA",$D$2="Bank Permata",$D$2="Sapta sarana Sejahtera (Exim Bank)",$D$2="AIA",$D$2="FIF"),
IF(AND(Sheet2!E28&gt;0,Sheet2!E28&lt;=8),8,
IF(AND(Sheet2!E28&gt;8,Sheet2!E28&lt;=16),16,
IF(AND(Sheet2!E28&gt;16,Sheet2!E28&lt;=24),24,""))),
IF(AND(Sheet2!E28&gt;0,Sheet2!E28&lt;=1),1,
IF(AND(Sheet2!E28&gt;1,Sheet2!E28&lt;=2),2,
IF(AND(Sheet2!E28&gt;2,Sheet2!E28&lt;=3),3,
IF(AND(Sheet2!E28&gt;3,Sheet2!E28&lt;=4),4,
IF(AND(Sheet2!E28&gt;4,Sheet2!E28&lt;=5),5,
IF(AND(Sheet2!E28&gt;5,Sheet2!E28&lt;=6),6,
IF(AND(Sheet2!E28&gt;6,Sheet2!E28&lt;=7),7,
IF(AND(Sheet2!E28&gt;7,Sheet2!E28&lt;=8),8,
IF(AND(Sheet2!E28&gt;8,Sheet2!E28&lt;=9),9,
IF(AND(Sheet2!E28&gt;9,Sheet2!E28&lt;=10),10,
IF(AND(Sheet2!E28&gt;10,Sheet2!E28&lt;=11),11,
IF(AND(Sheet2!E28&gt;11,Sheet2!E28&lt;=12),12,
IF(AND(Sheet2!E28&gt;12,Sheet2!E28&lt;=13),13,
IF(AND(Sheet2!E28&gt;13,Sheet2!E28&lt;=14),14,
IF(AND(Sheet2!E28&gt;14,Sheet2!E28&lt;=15),15,
IF(AND(Sheet2!E28&gt;15,Sheet2!E28&lt;=16),16,
IF(AND(Sheet2!E28&gt;16,Sheet2!E28&lt;=17),17,
IF(AND(Sheet2!E28&gt;17,Sheet2!E28&lt;=18),18,
IF(AND(Sheet2!E28&gt;18,Sheet2!E28&lt;=19),19,
IF(AND(Sheet2!E28&gt;19,Sheet2!E28&lt;=20),20,
IF(AND(Sheet2!E28&gt;20,Sheet2!E28&lt;=21),21,
IF(AND(Sheet2!E28&gt;21,Sheet2!E28&lt;=22),22,
IF(AND(Sheet2!E28&gt;22,Sheet2!E28&lt;=23),23,
IF(AND(Sheet2!E28&gt;23,Sheet2!E28&lt;=24),24,""))))))))))))))))))))))))))))))),
IF(OR(AND(B35="Monday"),
AND(B35="Tuesday"),
AND(B35="Wednesday"),
AND(B35="Thursday"),
AND(B35="Friday")),
IF(SUM(IF(OR(J35="",J35="Leave",J35="sick"),0,IF(MINUTE(E35-D35)&gt;29,HOUR(E35-D35)+1,HOUR(E35-D35))),IF(AND(D36&gt;0,D36&lt;=E35),0,IF(OR(D36=0,J36="",J36="Leave",J36="sick"),0,IF(MINUTE(E36-D36)&gt;29,HOUR(E36-D36)+1,HOUR(E36-D36)))))&gt;4,
SUM(IF(OR(J35="",J35="Leave",J35="sick"),0,IF(MINUTE(E35-D35)&gt;29,HOUR(E35-D35)+1,HOUR(E35-D35))),IF(AND(D36&gt;0,D36&lt;=E35),0,IF(OR(D36=0,J36="",J36="Leave",J36="sick"),0,IF(MINUTE(E36-D36)&gt;29,HOUR(E36-D36)+1,HOUR(E36-D36)))))-1,
SUM(IF(OR(J35="",J35="Leave",J35="sick"),0,IF(MINUTE(E35-D35)&gt;29,HOUR(E35-D35)+1,HOUR(E35-D35))),IF(AND(D36&gt;0,D36&lt;=E35),0,IF(OR(D36=0,J36="",J36="Leave",J36="sick"),0,IF(MINUTE(E36-D36)&gt;29,HOUR(E36-D36)+1,HOUR(E36-D36)))))),""))),"")</f>
        <v>0</v>
      </c>
      <c r="G35" s="137" t="s">
        <v>206</v>
      </c>
      <c r="H35" s="139">
        <f>IFERROR(IF(SUM(IF(D35=0,0,IF(J35="Sick",IF(MINUTE(E35-D35)&gt;29,HOUR(E35-D35)+1,HOUR(E35-D35)),0)),IF(AND(D36&gt;0,D36&lt;=E35),0,IF(OR(E35=0,D36=0),0,IF(J36="Sick",IF(MINUTE(E36-D36)&gt;29,HOUR(E36-D36)+1,HOUR(E36-D36)),0))))=0,0,IF(SUM(IF(J35="Sick",IF(MINUTE(E35-D35)&gt;29,HOUR(E35-D35)+1,HOUR(E35-D35)),0),IF(J36="Sick",IF(MINUTE(E36-D36)&gt;29,HOUR(E36-D36)+1,HOUR(E36-D36)),0))&lt;=6,4,8)),"")</f>
        <v>0</v>
      </c>
      <c r="I35" s="131">
        <f>IFERROR(IF(SUM(IF(D35=0,0,IF(J35="Leave",IF(MINUTE(E35-D35)&gt;29,HOUR(E35-D35)+1,HOUR(E35-D35)),0)),IF(AND(D36&gt;0,D36&lt;=E35),0,IF(OR(E35=0,D36=0),0,IF(J36="leave",IF(MINUTE(E36-D36)&gt;29,HOUR(E36-D36)+1,HOUR(E36-D36)),0))))=0,0,IF(SUM(IF(J35="Leave",IF(MINUTE(E35-D35)&gt;29,HOUR(E35-D35)+1,HOUR(E35-D35)),0),IF(J36="leave",IF(MINUTE(E36-D36)&gt;29,HOUR(E36-D36)+1,HOUR(E36-D36)),0))&lt;=6,4,8)),"")</f>
        <v>0</v>
      </c>
      <c r="J35" s="126"/>
      <c r="K35" s="127"/>
      <c r="L35" s="127"/>
      <c r="M35" s="128"/>
      <c r="N35" s="156"/>
      <c r="O35" s="153"/>
      <c r="P35" s="153"/>
      <c r="Q35" s="153"/>
      <c r="R35" s="153"/>
      <c r="S35" s="85"/>
      <c r="T35" s="85"/>
      <c r="U35" s="115"/>
    </row>
    <row r="36" spans="2:21" s="66" customFormat="1" ht="18" customHeight="1" x14ac:dyDescent="0.45">
      <c r="B36" s="155"/>
      <c r="C36" s="136"/>
      <c r="D36" s="39"/>
      <c r="E36" s="39"/>
      <c r="F36" s="132"/>
      <c r="G36" s="138"/>
      <c r="H36" s="139"/>
      <c r="I36" s="132"/>
      <c r="J36" s="126"/>
      <c r="K36" s="127"/>
      <c r="L36" s="127"/>
      <c r="M36" s="128"/>
      <c r="N36" s="153"/>
      <c r="O36" s="153"/>
      <c r="P36" s="153"/>
      <c r="Q36" s="153"/>
      <c r="R36" s="153"/>
      <c r="S36" s="85"/>
      <c r="T36" s="85"/>
      <c r="U36" s="115"/>
    </row>
    <row r="37" spans="2:21" s="66" customFormat="1" ht="18" customHeight="1" x14ac:dyDescent="0.45">
      <c r="B37" s="154" t="str">
        <f t="shared" si="2"/>
        <v>Thursday</v>
      </c>
      <c r="C37" s="136">
        <f t="shared" ref="C37" si="36">C35+1</f>
        <v>44756</v>
      </c>
      <c r="D37" s="39"/>
      <c r="E37" s="39"/>
      <c r="F37" s="131">
        <f>IFERROR(IF(D37=0,0,IF(OR(C37=List!$I$4,C37=List!$I$5,C37=List!$I$11,C37=List!$I$6,C37=List!$I$12,C37=List!$I$7,C37=List!$I$13,C37=List!$I$8,C37=List!$I$14,C37=List!$I$9,C37=List!$I$15,C37=List!$I$10,C37=List!$I$16,C37=List!$I$17,C37=List!$I$18,B37="Saturday",B37="Sunday"),
IF($D$2="","",
IF(AND(J37="",D37&gt;0,E37&gt;0),"",
IF(AND(D38&gt;0,E38&gt;0,J38=""),"",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IF(AND(Sheet2!E30&gt;0,Sheet2!E30&lt;=4),4,
IF(AND(Sheet2!E30&gt;4,Sheet2!E30&lt;=8),8,
IF(AND(Sheet2!E30&gt;8,Sheet2!E30&lt;=12),12,
IF(AND(Sheet2!E30&gt;12,Sheet2!E30&lt;=16),16,
IF(AND(Sheet2!E30&gt;16,Sheet2!E30&lt;=20),20,
IF(AND(Sheet2!E30&gt;20,Sheet2!E30&lt;=24),24,"")))))),
IF($D$2="CIFOR",
IF(AND(Sheet2!E30&gt;0,Sheet2!E30&lt;=9),9,
IF(AND(Sheet2!E30&gt;9,Sheet2!E30&lt;=18),18,
IF(AND(Sheet2!E30&gt;18,Sheet2!E30&lt;=24),24,""))),
IF(OR($D$2="Indika"),
IF(AND(Sheet2!E30&gt;0,Sheet2!E30&lt;=24),24,""),
IF(OR($D$2="BCA",$D$2="Bank Permata",$D$2="Sapta sarana Sejahtera (Exim Bank)",$D$2="AIA",$D$2="FIF"),
IF(AND(Sheet2!E30&gt;0,Sheet2!E30&lt;=8),8,
IF(AND(Sheet2!E30&gt;8,Sheet2!E30&lt;=16),16,
IF(AND(Sheet2!E30&gt;16,Sheet2!E30&lt;=24),24,""))),
IF(AND(Sheet2!E30&gt;0,Sheet2!E30&lt;=1),1,
IF(AND(Sheet2!E30&gt;1,Sheet2!E30&lt;=2),2,
IF(AND(Sheet2!E30&gt;2,Sheet2!E30&lt;=3),3,
IF(AND(Sheet2!E30&gt;3,Sheet2!E30&lt;=4),4,
IF(AND(Sheet2!E30&gt;4,Sheet2!E30&lt;=5),5,
IF(AND(Sheet2!E30&gt;5,Sheet2!E30&lt;=6),6,
IF(AND(Sheet2!E30&gt;6,Sheet2!E30&lt;=7),7,
IF(AND(Sheet2!E30&gt;7,Sheet2!E30&lt;=8),8,
IF(AND(Sheet2!E30&gt;8,Sheet2!E30&lt;=9),9,
IF(AND(Sheet2!E30&gt;9,Sheet2!E30&lt;=10),10,
IF(AND(Sheet2!E30&gt;10,Sheet2!E30&lt;=11),11,
IF(AND(Sheet2!E30&gt;11,Sheet2!E30&lt;=12),12,
IF(AND(Sheet2!E30&gt;12,Sheet2!E30&lt;=13),13,
IF(AND(Sheet2!E30&gt;13,Sheet2!E30&lt;=14),14,
IF(AND(Sheet2!E30&gt;14,Sheet2!E30&lt;=15),15,
IF(AND(Sheet2!E30&gt;15,Sheet2!E30&lt;=16),16,
IF(AND(Sheet2!E30&gt;16,Sheet2!E30&lt;=17),17,
IF(AND(Sheet2!E30&gt;17,Sheet2!E30&lt;=18),18,
IF(AND(Sheet2!E30&gt;18,Sheet2!E30&lt;=19),19,
IF(AND(Sheet2!E30&gt;19,Sheet2!E30&lt;=20),20,
IF(AND(Sheet2!E30&gt;20,Sheet2!E30&lt;=21),21,
IF(AND(Sheet2!E30&gt;21,Sheet2!E30&lt;=22),22,
IF(AND(Sheet2!E30&gt;22,Sheet2!E30&lt;=23),23,
IF(AND(Sheet2!E30&gt;23,Sheet2!E30&lt;=24),24,""))))))))))))))))))))))))))))))),
IF(OR(AND(B37="Monday"),
AND(B37="Tuesday"),
AND(B37="Wednesday"),
AND(B37="Thursday"),
AND(B37="Friday")),
IF(SUM(IF(OR(J37="",J37="Leave",J37="sick"),0,IF(MINUTE(E37-D37)&gt;29,HOUR(E37-D37)+1,HOUR(E37-D37))),IF(AND(D38&gt;0,D38&lt;=E37),0,IF(OR(D38=0,J38="",J38="Leave",J38="sick"),0,IF(MINUTE(E38-D38)&gt;29,HOUR(E38-D38)+1,HOUR(E38-D38)))))&gt;4,
SUM(IF(OR(J37="",J37="Leave",J37="sick"),0,IF(MINUTE(E37-D37)&gt;29,HOUR(E37-D37)+1,HOUR(E37-D37))),IF(AND(D38&gt;0,D38&lt;=E37),0,IF(OR(D38=0,J38="",J38="Leave",J38="sick"),0,IF(MINUTE(E38-D38)&gt;29,HOUR(E38-D38)+1,HOUR(E38-D38)))))-1,
SUM(IF(OR(J37="",J37="Leave",J37="sick"),0,IF(MINUTE(E37-D37)&gt;29,HOUR(E37-D37)+1,HOUR(E37-D37))),IF(AND(D38&gt;0,D38&lt;=E37),0,IF(OR(D38=0,J38="",J38="Leave",J38="sick"),0,IF(MINUTE(E38-D38)&gt;29,HOUR(E38-D38)+1,HOUR(E38-D38)))))),""))),"")</f>
        <v>0</v>
      </c>
      <c r="G37" s="137" t="s">
        <v>206</v>
      </c>
      <c r="H37" s="139">
        <f t="shared" ref="H37" si="37">IFERROR(IF(SUM(IF(D37=0,0,IF(J37="Sick",IF(MINUTE(E37-D37)&gt;29,HOUR(E37-D37)+1,HOUR(E37-D37)),0)),IF(AND(D38&gt;0,D38&lt;=E37),0,IF(OR(E37=0,D38=0),0,IF(J38="Sick",IF(MINUTE(E38-D38)&gt;29,HOUR(E38-D38)+1,HOUR(E38-D38)),0))))=0,0,IF(SUM(IF(J37="Sick",IF(MINUTE(E37-D37)&gt;29,HOUR(E37-D37)+1,HOUR(E37-D37)),0),IF(J38="Sick",IF(MINUTE(E38-D38)&gt;29,HOUR(E38-D38)+1,HOUR(E38-D38)),0))&lt;=6,4,8)),"")</f>
        <v>0</v>
      </c>
      <c r="I37" s="131">
        <f t="shared" ref="I37" si="38">IFERROR(IF(SUM(IF(D37=0,0,IF(J37="Leave",IF(MINUTE(E37-D37)&gt;29,HOUR(E37-D37)+1,HOUR(E37-D37)),0)),IF(AND(D38&gt;0,D38&lt;=E37),0,IF(OR(E37=0,D38=0),0,IF(J38="leave",IF(MINUTE(E38-D38)&gt;29,HOUR(E38-D38)+1,HOUR(E38-D38)),0))))=0,0,IF(SUM(IF(J37="Leave",IF(MINUTE(E37-D37)&gt;29,HOUR(E37-D37)+1,HOUR(E37-D37)),0),IF(J38="leave",IF(MINUTE(E38-D38)&gt;29,HOUR(E38-D38)+1,HOUR(E38-D38)),0))&lt;=6,4,8)),"")</f>
        <v>0</v>
      </c>
      <c r="J37" s="126"/>
      <c r="K37" s="127"/>
      <c r="L37" s="127"/>
      <c r="M37" s="128"/>
      <c r="N37" s="153"/>
      <c r="O37" s="153"/>
      <c r="P37" s="153"/>
      <c r="Q37" s="153"/>
      <c r="R37" s="153"/>
      <c r="S37" s="85"/>
      <c r="T37" s="85"/>
      <c r="U37" s="115"/>
    </row>
    <row r="38" spans="2:21" s="66" customFormat="1" ht="18" customHeight="1" x14ac:dyDescent="0.45">
      <c r="B38" s="155"/>
      <c r="C38" s="136"/>
      <c r="D38" s="39"/>
      <c r="E38" s="39"/>
      <c r="F38" s="132"/>
      <c r="G38" s="138"/>
      <c r="H38" s="139"/>
      <c r="I38" s="132"/>
      <c r="J38" s="126"/>
      <c r="K38" s="127"/>
      <c r="L38" s="127"/>
      <c r="M38" s="128"/>
      <c r="N38" s="153"/>
      <c r="O38" s="153"/>
      <c r="P38" s="153"/>
      <c r="Q38" s="153"/>
      <c r="R38" s="153"/>
      <c r="S38" s="85"/>
      <c r="T38" s="85"/>
      <c r="U38" s="115"/>
    </row>
    <row r="39" spans="2:21" s="66" customFormat="1" ht="18" customHeight="1" x14ac:dyDescent="0.45">
      <c r="B39" s="154" t="str">
        <f t="shared" si="2"/>
        <v>Friday</v>
      </c>
      <c r="C39" s="136">
        <f t="shared" ref="C39" si="39">C37+1</f>
        <v>44757</v>
      </c>
      <c r="D39" s="39"/>
      <c r="E39" s="39"/>
      <c r="F39" s="131">
        <f>IFERROR(IF(D39=0,0,IF(OR(C39=List!$I$4,C39=List!$I$5,C39=List!$I$11,C39=List!$I$6,C39=List!$I$12,C39=List!$I$7,C39=List!$I$13,C39=List!$I$8,C39=List!$I$14,C39=List!$I$9,C39=List!$I$15,C39=List!$I$10,C39=List!$I$16,C39=List!$I$17,C39=List!$I$18,B39="Saturday",B39="Sunday"),
IF($D$2="","",
IF(AND(J39="",D39&gt;0,E39&gt;0),"",
IF(AND(D40&gt;0,E40&gt;0,J40=""),"",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IF(AND(Sheet2!E32&gt;0,Sheet2!E32&lt;=4),4,
IF(AND(Sheet2!E32&gt;4,Sheet2!E32&lt;=8),8,
IF(AND(Sheet2!E32&gt;8,Sheet2!E32&lt;=12),12,
IF(AND(Sheet2!E32&gt;12,Sheet2!E32&lt;=16),16,
IF(AND(Sheet2!E32&gt;16,Sheet2!E32&lt;=20),20,
IF(AND(Sheet2!E32&gt;20,Sheet2!E32&lt;=24),24,"")))))),
IF($D$2="CIFOR",
IF(AND(Sheet2!E32&gt;0,Sheet2!E32&lt;=9),9,
IF(AND(Sheet2!E32&gt;9,Sheet2!E32&lt;=18),18,
IF(AND(Sheet2!E32&gt;18,Sheet2!E32&lt;=24),24,""))),
IF(OR($D$2="Indika"),
IF(AND(Sheet2!E32&gt;0,Sheet2!E32&lt;=24),24,""),
IF(OR($D$2="BCA",$D$2="Bank Permata",$D$2="Sapta sarana Sejahtera (Exim Bank)",$D$2="AIA",$D$2="FIF"),
IF(AND(Sheet2!E32&gt;0,Sheet2!E32&lt;=8),8,
IF(AND(Sheet2!E32&gt;8,Sheet2!E32&lt;=16),16,
IF(AND(Sheet2!E32&gt;16,Sheet2!E32&lt;=24),24,""))),
IF(AND(Sheet2!E32&gt;0,Sheet2!E32&lt;=1),1,
IF(AND(Sheet2!E32&gt;1,Sheet2!E32&lt;=2),2,
IF(AND(Sheet2!E32&gt;2,Sheet2!E32&lt;=3),3,
IF(AND(Sheet2!E32&gt;3,Sheet2!E32&lt;=4),4,
IF(AND(Sheet2!E32&gt;4,Sheet2!E32&lt;=5),5,
IF(AND(Sheet2!E32&gt;5,Sheet2!E32&lt;=6),6,
IF(AND(Sheet2!E32&gt;6,Sheet2!E32&lt;=7),7,
IF(AND(Sheet2!E32&gt;7,Sheet2!E32&lt;=8),8,
IF(AND(Sheet2!E32&gt;8,Sheet2!E32&lt;=9),9,
IF(AND(Sheet2!E32&gt;9,Sheet2!E32&lt;=10),10,
IF(AND(Sheet2!E32&gt;10,Sheet2!E32&lt;=11),11,
IF(AND(Sheet2!E32&gt;11,Sheet2!E32&lt;=12),12,
IF(AND(Sheet2!E32&gt;12,Sheet2!E32&lt;=13),13,
IF(AND(Sheet2!E32&gt;13,Sheet2!E32&lt;=14),14,
IF(AND(Sheet2!E32&gt;14,Sheet2!E32&lt;=15),15,
IF(AND(Sheet2!E32&gt;15,Sheet2!E32&lt;=16),16,
IF(AND(Sheet2!E32&gt;16,Sheet2!E32&lt;=17),17,
IF(AND(Sheet2!E32&gt;17,Sheet2!E32&lt;=18),18,
IF(AND(Sheet2!E32&gt;18,Sheet2!E32&lt;=19),19,
IF(AND(Sheet2!E32&gt;19,Sheet2!E32&lt;=20),20,
IF(AND(Sheet2!E32&gt;20,Sheet2!E32&lt;=21),21,
IF(AND(Sheet2!E32&gt;21,Sheet2!E32&lt;=22),22,
IF(AND(Sheet2!E32&gt;22,Sheet2!E32&lt;=23),23,
IF(AND(Sheet2!E32&gt;23,Sheet2!E32&lt;=24),24,""))))))))))))))))))))))))))))))),
IF(OR(AND(B39="Monday"),
AND(B39="Tuesday"),
AND(B39="Wednesday"),
AND(B39="Thursday"),
AND(B39="Friday")),
IF(SUM(IF(OR(J39="",J39="Leave",J39="sick"),0,IF(MINUTE(E39-D39)&gt;29,HOUR(E39-D39)+1,HOUR(E39-D39))),IF(AND(D40&gt;0,D40&lt;=E39),0,IF(OR(D40=0,J40="",J40="Leave",J40="sick"),0,IF(MINUTE(E40-D40)&gt;29,HOUR(E40-D40)+1,HOUR(E40-D40)))))&gt;4,
SUM(IF(OR(J39="",J39="Leave",J39="sick"),0,IF(MINUTE(E39-D39)&gt;29,HOUR(E39-D39)+1,HOUR(E39-D39))),IF(AND(D40&gt;0,D40&lt;=E39),0,IF(OR(D40=0,J40="",J40="Leave",J40="sick"),0,IF(MINUTE(E40-D40)&gt;29,HOUR(E40-D40)+1,HOUR(E40-D40)))))-1,
SUM(IF(OR(J39="",J39="Leave",J39="sick"),0,IF(MINUTE(E39-D39)&gt;29,HOUR(E39-D39)+1,HOUR(E39-D39))),IF(AND(D40&gt;0,D40&lt;=E39),0,IF(OR(D40=0,J40="",J40="Leave",J40="sick"),0,IF(MINUTE(E40-D40)&gt;29,HOUR(E40-D40)+1,HOUR(E40-D40)))))),""))),"")</f>
        <v>0</v>
      </c>
      <c r="G39" s="137" t="s">
        <v>206</v>
      </c>
      <c r="H39" s="139">
        <f t="shared" ref="H39" si="40">IFERROR(IF(SUM(IF(D39=0,0,IF(J39="Sick",IF(MINUTE(E39-D39)&gt;29,HOUR(E39-D39)+1,HOUR(E39-D39)),0)),IF(AND(D40&gt;0,D40&lt;=E39),0,IF(OR(E39=0,D40=0),0,IF(J40="Sick",IF(MINUTE(E40-D40)&gt;29,HOUR(E40-D40)+1,HOUR(E40-D40)),0))))=0,0,IF(SUM(IF(J39="Sick",IF(MINUTE(E39-D39)&gt;29,HOUR(E39-D39)+1,HOUR(E39-D39)),0),IF(J40="Sick",IF(MINUTE(E40-D40)&gt;29,HOUR(E40-D40)+1,HOUR(E40-D40)),0))&lt;=6,4,8)),"")</f>
        <v>0</v>
      </c>
      <c r="I39" s="131">
        <f t="shared" ref="I39" si="41">IFERROR(IF(SUM(IF(D39=0,0,IF(J39="Leave",IF(MINUTE(E39-D39)&gt;29,HOUR(E39-D39)+1,HOUR(E39-D39)),0)),IF(AND(D40&gt;0,D40&lt;=E39),0,IF(OR(E39=0,D40=0),0,IF(J40="leave",IF(MINUTE(E40-D40)&gt;29,HOUR(E40-D40)+1,HOUR(E40-D40)),0))))=0,0,IF(SUM(IF(J39="Leave",IF(MINUTE(E39-D39)&gt;29,HOUR(E39-D39)+1,HOUR(E39-D39)),0),IF(J40="leave",IF(MINUTE(E40-D40)&gt;29,HOUR(E40-D40)+1,HOUR(E40-D40)),0))&lt;=6,4,8)),"")</f>
        <v>0</v>
      </c>
      <c r="J39" s="126"/>
      <c r="K39" s="127"/>
      <c r="L39" s="127"/>
      <c r="M39" s="128"/>
      <c r="N39" s="153"/>
      <c r="O39" s="153"/>
      <c r="P39" s="153"/>
      <c r="Q39" s="153"/>
      <c r="R39" s="153"/>
      <c r="U39" s="115"/>
    </row>
    <row r="40" spans="2:21" s="66" customFormat="1" ht="18" customHeight="1" x14ac:dyDescent="0.45">
      <c r="B40" s="155"/>
      <c r="C40" s="136"/>
      <c r="D40" s="39"/>
      <c r="E40" s="39"/>
      <c r="F40" s="132"/>
      <c r="G40" s="138"/>
      <c r="H40" s="139"/>
      <c r="I40" s="132"/>
      <c r="J40" s="126"/>
      <c r="K40" s="127"/>
      <c r="L40" s="127"/>
      <c r="M40" s="128"/>
      <c r="N40" s="153"/>
      <c r="O40" s="153"/>
      <c r="P40" s="153"/>
      <c r="Q40" s="153"/>
      <c r="R40" s="153"/>
      <c r="U40" s="115"/>
    </row>
    <row r="41" spans="2:21" s="66" customFormat="1" ht="18" customHeight="1" x14ac:dyDescent="0.45">
      <c r="B41" s="151" t="str">
        <f t="shared" si="2"/>
        <v>Saturday</v>
      </c>
      <c r="C41" s="135">
        <f t="shared" ref="C41" si="42">C39+1</f>
        <v>44758</v>
      </c>
      <c r="D41" s="117"/>
      <c r="E41" s="117"/>
      <c r="F41" s="129">
        <f>IFERROR(IF(D41=0,0,IF(OR(C41=List!$I$4,C41=List!$I$5,C41=List!$I$11,C41=List!$I$6,C41=List!$I$12,C41=List!$I$7,C41=List!$I$13,C41=List!$I$8,C41=List!$I$14,C41=List!$I$9,C41=List!$I$15,C41=List!$I$10,C41=List!$I$16,C41=List!$I$17,C41=List!$I$18,B41="Saturday",B41="Sunday"),
IF($D$2="","",
IF(AND(J41="",D41&gt;0,E41&gt;0),"",
IF(AND(D42&gt;0,E42&gt;0,J42=""),"",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IF(AND(Sheet2!E34&gt;0,Sheet2!E34&lt;=4),4,
IF(AND(Sheet2!E34&gt;4,Sheet2!E34&lt;=8),8,
IF(AND(Sheet2!E34&gt;8,Sheet2!E34&lt;=12),12,
IF(AND(Sheet2!E34&gt;12,Sheet2!E34&lt;=16),16,
IF(AND(Sheet2!E34&gt;16,Sheet2!E34&lt;=20),20,
IF(AND(Sheet2!E34&gt;20,Sheet2!E34&lt;=24),24,"")))))),
IF($D$2="CIFOR",
IF(AND(Sheet2!E34&gt;0,Sheet2!E34&lt;=9),9,
IF(AND(Sheet2!E34&gt;9,Sheet2!E34&lt;=18),18,
IF(AND(Sheet2!E34&gt;18,Sheet2!E34&lt;=24),24,""))),
IF(OR($D$2="Indika"),
IF(AND(Sheet2!E34&gt;0,Sheet2!E34&lt;=24),24,""),
IF(OR($D$2="BCA",$D$2="Bank Permata",$D$2="Sapta sarana Sejahtera (Exim Bank)",$D$2="AIA",$D$2="FIF"),
IF(AND(Sheet2!E34&gt;0,Sheet2!E34&lt;=8),8,
IF(AND(Sheet2!E34&gt;8,Sheet2!E34&lt;=16),16,
IF(AND(Sheet2!E34&gt;16,Sheet2!E34&lt;=24),24,""))),
IF(AND(Sheet2!E34&gt;0,Sheet2!E34&lt;=1),1,
IF(AND(Sheet2!E34&gt;1,Sheet2!E34&lt;=2),2,
IF(AND(Sheet2!E34&gt;2,Sheet2!E34&lt;=3),3,
IF(AND(Sheet2!E34&gt;3,Sheet2!E34&lt;=4),4,
IF(AND(Sheet2!E34&gt;4,Sheet2!E34&lt;=5),5,
IF(AND(Sheet2!E34&gt;5,Sheet2!E34&lt;=6),6,
IF(AND(Sheet2!E34&gt;6,Sheet2!E34&lt;=7),7,
IF(AND(Sheet2!E34&gt;7,Sheet2!E34&lt;=8),8,
IF(AND(Sheet2!E34&gt;8,Sheet2!E34&lt;=9),9,
IF(AND(Sheet2!E34&gt;9,Sheet2!E34&lt;=10),10,
IF(AND(Sheet2!E34&gt;10,Sheet2!E34&lt;=11),11,
IF(AND(Sheet2!E34&gt;11,Sheet2!E34&lt;=12),12,
IF(AND(Sheet2!E34&gt;12,Sheet2!E34&lt;=13),13,
IF(AND(Sheet2!E34&gt;13,Sheet2!E34&lt;=14),14,
IF(AND(Sheet2!E34&gt;14,Sheet2!E34&lt;=15),15,
IF(AND(Sheet2!E34&gt;15,Sheet2!E34&lt;=16),16,
IF(AND(Sheet2!E34&gt;16,Sheet2!E34&lt;=17),17,
IF(AND(Sheet2!E34&gt;17,Sheet2!E34&lt;=18),18,
IF(AND(Sheet2!E34&gt;18,Sheet2!E34&lt;=19),19,
IF(AND(Sheet2!E34&gt;19,Sheet2!E34&lt;=20),20,
IF(AND(Sheet2!E34&gt;20,Sheet2!E34&lt;=21),21,
IF(AND(Sheet2!E34&gt;21,Sheet2!E34&lt;=22),22,
IF(AND(Sheet2!E34&gt;22,Sheet2!E34&lt;=23),23,
IF(AND(Sheet2!E34&gt;23,Sheet2!E34&lt;=24),24,""))))))))))))))))))))))))))))))),
IF(OR(AND(B41="Monday"),
AND(B41="Tuesday"),
AND(B41="Wednesday"),
AND(B41="Thursday"),
AND(B41="Friday")),
IF(SUM(IF(OR(J41="",J41="Leave",J41="sick"),0,IF(MINUTE(E41-D41)&gt;29,HOUR(E41-D41)+1,HOUR(E41-D41))),IF(AND(D42&gt;0,D42&lt;=E41),0,IF(OR(D42=0,J42="",J42="Leave",J42="sick"),0,IF(MINUTE(E42-D42)&gt;29,HOUR(E42-D42)+1,HOUR(E42-D42)))))&gt;4,
SUM(IF(OR(J41="",J41="Leave",J41="sick"),0,IF(MINUTE(E41-D41)&gt;29,HOUR(E41-D41)+1,HOUR(E41-D41))),IF(AND(D42&gt;0,D42&lt;=E41),0,IF(OR(D42=0,J42="",J42="Leave",J42="sick"),0,IF(MINUTE(E42-D42)&gt;29,HOUR(E42-D42)+1,HOUR(E42-D42)))))-1,
SUM(IF(OR(J41="",J41="Leave",J41="sick"),0,IF(MINUTE(E41-D41)&gt;29,HOUR(E41-D41)+1,HOUR(E41-D41))),IF(AND(D42&gt;0,D42&lt;=E41),0,IF(OR(D42=0,J42="",J42="Leave",J42="sick"),0,IF(MINUTE(E42-D42)&gt;29,HOUR(E42-D42)+1,HOUR(E42-D42)))))),""))),"")</f>
        <v>0</v>
      </c>
      <c r="G41" s="143" t="s">
        <v>206</v>
      </c>
      <c r="H41" s="140">
        <f t="shared" ref="H41" si="43">IFERROR(IF(SUM(IF(D41=0,0,IF(J41="Sick",IF(MINUTE(E41-D41)&gt;29,HOUR(E41-D41)+1,HOUR(E41-D41)),0)),IF(AND(D42&gt;0,D42&lt;=E41),0,IF(OR(E41=0,D42=0),0,IF(J42="Sick",IF(MINUTE(E42-D42)&gt;29,HOUR(E42-D42)+1,HOUR(E42-D42)),0))))=0,0,IF(SUM(IF(J41="Sick",IF(MINUTE(E41-D41)&gt;29,HOUR(E41-D41)+1,HOUR(E41-D41)),0),IF(J42="Sick",IF(MINUTE(E42-D42)&gt;29,HOUR(E42-D42)+1,HOUR(E42-D42)),0))&lt;=6,4,8)),"")</f>
        <v>0</v>
      </c>
      <c r="I41" s="129">
        <f t="shared" ref="I41" si="44">IFERROR(IF(SUM(IF(D41=0,0,IF(J41="Leave",IF(MINUTE(E41-D41)&gt;29,HOUR(E41-D41)+1,HOUR(E41-D41)),0)),IF(AND(D42&gt;0,D42&lt;=E41),0,IF(OR(E41=0,D42=0),0,IF(J42="leave",IF(MINUTE(E42-D42)&gt;29,HOUR(E42-D42)+1,HOUR(E42-D42)),0))))=0,0,IF(SUM(IF(J41="Leave",IF(MINUTE(E41-D41)&gt;29,HOUR(E41-D41)+1,HOUR(E41-D41)),0),IF(J42="leave",IF(MINUTE(E42-D42)&gt;29,HOUR(E42-D42)+1,HOUR(E42-D42)),0))&lt;=6,4,8)),"")</f>
        <v>0</v>
      </c>
      <c r="J41" s="123"/>
      <c r="K41" s="124"/>
      <c r="L41" s="124"/>
      <c r="M41" s="125"/>
      <c r="N41" s="157"/>
      <c r="O41" s="157"/>
      <c r="P41" s="157"/>
      <c r="Q41" s="157"/>
      <c r="R41" s="157"/>
      <c r="U41" s="115"/>
    </row>
    <row r="42" spans="2:21" s="66" customFormat="1" ht="18" customHeight="1" x14ac:dyDescent="0.45">
      <c r="B42" s="152"/>
      <c r="C42" s="135"/>
      <c r="D42" s="117"/>
      <c r="E42" s="117"/>
      <c r="F42" s="130"/>
      <c r="G42" s="144"/>
      <c r="H42" s="140"/>
      <c r="I42" s="130"/>
      <c r="J42" s="123"/>
      <c r="K42" s="124"/>
      <c r="L42" s="124"/>
      <c r="M42" s="125"/>
      <c r="N42" s="157"/>
      <c r="O42" s="157"/>
      <c r="P42" s="157"/>
      <c r="Q42" s="157"/>
      <c r="R42" s="157"/>
      <c r="U42" s="115"/>
    </row>
    <row r="43" spans="2:21" s="66" customFormat="1" ht="18" customHeight="1" x14ac:dyDescent="0.45">
      <c r="B43" s="151" t="str">
        <f t="shared" si="2"/>
        <v>Sunday</v>
      </c>
      <c r="C43" s="135">
        <f t="shared" ref="C43" si="45">C41+1</f>
        <v>44759</v>
      </c>
      <c r="D43" s="117"/>
      <c r="E43" s="117"/>
      <c r="F43" s="129">
        <f>IFERROR(IF(D43=0,0,IF(OR(C43=List!$I$4,C43=List!$I$5,C43=List!$I$11,C43=List!$I$6,C43=List!$I$12,C43=List!$I$7,C43=List!$I$13,C43=List!$I$8,C43=List!$I$14,C43=List!$I$9,C43=List!$I$15,C43=List!$I$10,C43=List!$I$16,C43=List!$I$17,C43=List!$I$18,B43="Saturday",B43="Sunday"),
IF($D$2="","",
IF(AND(J43="",D43&gt;0,E43&gt;0),"",
IF(AND(D44&gt;0,E44&gt;0,J44=""),"",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IF(AND(Sheet2!E36&gt;0,Sheet2!E36&lt;=4),4,
IF(AND(Sheet2!E36&gt;4,Sheet2!E36&lt;=8),8,
IF(AND(Sheet2!E36&gt;8,Sheet2!E36&lt;=12),12,
IF(AND(Sheet2!E36&gt;12,Sheet2!E36&lt;=16),16,
IF(AND(Sheet2!E36&gt;16,Sheet2!E36&lt;=20),20,
IF(AND(Sheet2!E36&gt;20,Sheet2!E36&lt;=24),24,"")))))),
IF($D$2="CIFOR",
IF(AND(Sheet2!E36&gt;0,Sheet2!E36&lt;=9),9,
IF(AND(Sheet2!E36&gt;9,Sheet2!E36&lt;=18),18,
IF(AND(Sheet2!E36&gt;18,Sheet2!E36&lt;=24),24,""))),
IF(OR($D$2="Indika"),
IF(AND(Sheet2!E36&gt;0,Sheet2!E36&lt;=24),24,""),
IF(OR($D$2="BCA",$D$2="Bank Permata",$D$2="Sapta sarana Sejahtera (Exim Bank)",$D$2="AIA",$D$2="FIF"),
IF(AND(Sheet2!E36&gt;0,Sheet2!E36&lt;=8),8,
IF(AND(Sheet2!E36&gt;8,Sheet2!E36&lt;=16),16,
IF(AND(Sheet2!E36&gt;16,Sheet2!E36&lt;=24),24,""))),
IF(AND(Sheet2!E36&gt;0,Sheet2!E36&lt;=1),1,
IF(AND(Sheet2!E36&gt;1,Sheet2!E36&lt;=2),2,
IF(AND(Sheet2!E36&gt;2,Sheet2!E36&lt;=3),3,
IF(AND(Sheet2!E36&gt;3,Sheet2!E36&lt;=4),4,
IF(AND(Sheet2!E36&gt;4,Sheet2!E36&lt;=5),5,
IF(AND(Sheet2!E36&gt;5,Sheet2!E36&lt;=6),6,
IF(AND(Sheet2!E36&gt;6,Sheet2!E36&lt;=7),7,
IF(AND(Sheet2!E36&gt;7,Sheet2!E36&lt;=8),8,
IF(AND(Sheet2!E36&gt;8,Sheet2!E36&lt;=9),9,
IF(AND(Sheet2!E36&gt;9,Sheet2!E36&lt;=10),10,
IF(AND(Sheet2!E36&gt;10,Sheet2!E36&lt;=11),11,
IF(AND(Sheet2!E36&gt;11,Sheet2!E36&lt;=12),12,
IF(AND(Sheet2!E36&gt;12,Sheet2!E36&lt;=13),13,
IF(AND(Sheet2!E36&gt;13,Sheet2!E36&lt;=14),14,
IF(AND(Sheet2!E36&gt;14,Sheet2!E36&lt;=15),15,
IF(AND(Sheet2!E36&gt;15,Sheet2!E36&lt;=16),16,
IF(AND(Sheet2!E36&gt;16,Sheet2!E36&lt;=17),17,
IF(AND(Sheet2!E36&gt;17,Sheet2!E36&lt;=18),18,
IF(AND(Sheet2!E36&gt;18,Sheet2!E36&lt;=19),19,
IF(AND(Sheet2!E36&gt;19,Sheet2!E36&lt;=20),20,
IF(AND(Sheet2!E36&gt;20,Sheet2!E36&lt;=21),21,
IF(AND(Sheet2!E36&gt;21,Sheet2!E36&lt;=22),22,
IF(AND(Sheet2!E36&gt;22,Sheet2!E36&lt;=23),23,
IF(AND(Sheet2!E36&gt;23,Sheet2!E36&lt;=24),24,""))))))))))))))))))))))))))))))),
IF(OR(AND(B43="Monday"),
AND(B43="Tuesday"),
AND(B43="Wednesday"),
AND(B43="Thursday"),
AND(B43="Friday")),
IF(SUM(IF(OR(J43="",J43="Leave",J43="sick"),0,IF(MINUTE(E43-D43)&gt;29,HOUR(E43-D43)+1,HOUR(E43-D43))),IF(AND(D44&gt;0,D44&lt;=E43),0,IF(OR(D44=0,J44="",J44="Leave",J44="sick"),0,IF(MINUTE(E44-D44)&gt;29,HOUR(E44-D44)+1,HOUR(E44-D44)))))&gt;4,
SUM(IF(OR(J43="",J43="Leave",J43="sick"),0,IF(MINUTE(E43-D43)&gt;29,HOUR(E43-D43)+1,HOUR(E43-D43))),IF(AND(D44&gt;0,D44&lt;=E43),0,IF(OR(D44=0,J44="",J44="Leave",J44="sick"),0,IF(MINUTE(E44-D44)&gt;29,HOUR(E44-D44)+1,HOUR(E44-D44)))))-1,
SUM(IF(OR(J43="",J43="Leave",J43="sick"),0,IF(MINUTE(E43-D43)&gt;29,HOUR(E43-D43)+1,HOUR(E43-D43))),IF(AND(D44&gt;0,D44&lt;=E43),0,IF(OR(D44=0,J44="",J44="Leave",J44="sick"),0,IF(MINUTE(E44-D44)&gt;29,HOUR(E44-D44)+1,HOUR(E44-D44)))))),""))),"")</f>
        <v>0</v>
      </c>
      <c r="G43" s="143" t="s">
        <v>206</v>
      </c>
      <c r="H43" s="140">
        <f t="shared" ref="H43" si="46">IFERROR(IF(SUM(IF(D43=0,0,IF(J43="Sick",IF(MINUTE(E43-D43)&gt;29,HOUR(E43-D43)+1,HOUR(E43-D43)),0)),IF(AND(D44&gt;0,D44&lt;=E43),0,IF(OR(E43=0,D44=0),0,IF(J44="Sick",IF(MINUTE(E44-D44)&gt;29,HOUR(E44-D44)+1,HOUR(E44-D44)),0))))=0,0,IF(SUM(IF(J43="Sick",IF(MINUTE(E43-D43)&gt;29,HOUR(E43-D43)+1,HOUR(E43-D43)),0),IF(J44="Sick",IF(MINUTE(E44-D44)&gt;29,HOUR(E44-D44)+1,HOUR(E44-D44)),0))&lt;=6,4,8)),"")</f>
        <v>0</v>
      </c>
      <c r="I43" s="129">
        <f t="shared" ref="I43" si="47">IFERROR(IF(SUM(IF(D43=0,0,IF(J43="Leave",IF(MINUTE(E43-D43)&gt;29,HOUR(E43-D43)+1,HOUR(E43-D43)),0)),IF(AND(D44&gt;0,D44&lt;=E43),0,IF(OR(E43=0,D44=0),0,IF(J44="leave",IF(MINUTE(E44-D44)&gt;29,HOUR(E44-D44)+1,HOUR(E44-D44)),0))))=0,0,IF(SUM(IF(J43="Leave",IF(MINUTE(E43-D43)&gt;29,HOUR(E43-D43)+1,HOUR(E43-D43)),0),IF(J44="leave",IF(MINUTE(E44-D44)&gt;29,HOUR(E44-D44)+1,HOUR(E44-D44)),0))&lt;=6,4,8)),"")</f>
        <v>0</v>
      </c>
      <c r="J43" s="123"/>
      <c r="K43" s="124"/>
      <c r="L43" s="124"/>
      <c r="M43" s="125"/>
      <c r="N43" s="158"/>
      <c r="O43" s="157"/>
      <c r="P43" s="157"/>
      <c r="Q43" s="157"/>
      <c r="R43" s="157"/>
      <c r="U43" s="115"/>
    </row>
    <row r="44" spans="2:21" s="66" customFormat="1" ht="18" customHeight="1" x14ac:dyDescent="0.45">
      <c r="B44" s="152"/>
      <c r="C44" s="135"/>
      <c r="D44" s="117"/>
      <c r="E44" s="117"/>
      <c r="F44" s="130"/>
      <c r="G44" s="144"/>
      <c r="H44" s="140"/>
      <c r="I44" s="130"/>
      <c r="J44" s="123"/>
      <c r="K44" s="124"/>
      <c r="L44" s="124"/>
      <c r="M44" s="125"/>
      <c r="N44" s="157"/>
      <c r="O44" s="157"/>
      <c r="P44" s="157"/>
      <c r="Q44" s="157"/>
      <c r="R44" s="157"/>
      <c r="U44" s="115"/>
    </row>
    <row r="45" spans="2:21" s="66" customFormat="1" ht="18" customHeight="1" x14ac:dyDescent="0.45">
      <c r="B45" s="154" t="str">
        <f t="shared" si="2"/>
        <v>Monday</v>
      </c>
      <c r="C45" s="136">
        <f t="shared" ref="C45" si="48">C43+1</f>
        <v>44760</v>
      </c>
      <c r="D45" s="39"/>
      <c r="E45" s="39"/>
      <c r="F45" s="131">
        <f>IFERROR(IF(D45=0,0,IF(OR(C45=List!$I$4,C45=List!$I$5,C45=List!$I$11,C45=List!$I$6,C45=List!$I$12,C45=List!$I$7,C45=List!$I$13,C45=List!$I$8,C45=List!$I$14,C45=List!$I$9,C45=List!$I$15,C45=List!$I$10,C45=List!$I$16,C45=List!$I$17,C45=List!$I$18,B45="Saturday",B45="Sunday"),
IF($D$2="","",
IF(AND(J45="",D45&gt;0,E45&gt;0),"",
IF(AND(D46&gt;0,E46&gt;0,J46=""),"",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IF(AND(Sheet2!E38&gt;0,Sheet2!E38&lt;=4),4,
IF(AND(Sheet2!E38&gt;4,Sheet2!E38&lt;=8),8,
IF(AND(Sheet2!E38&gt;8,Sheet2!E38&lt;=12),12,
IF(AND(Sheet2!E38&gt;12,Sheet2!E38&lt;=16),16,
IF(AND(Sheet2!E38&gt;16,Sheet2!E38&lt;=20),20,
IF(AND(Sheet2!E38&gt;20,Sheet2!E38&lt;=24),24,"")))))),
IF($D$2="CIFOR",
IF(AND(Sheet2!E38&gt;0,Sheet2!E38&lt;=9),9,
IF(AND(Sheet2!E38&gt;9,Sheet2!E38&lt;=18),18,
IF(AND(Sheet2!E38&gt;18,Sheet2!E38&lt;=24),24,""))),
IF(OR($D$2="Indika"),
IF(AND(Sheet2!E38&gt;0,Sheet2!E38&lt;=24),24,""),
IF(OR($D$2="BCA",$D$2="Bank Permata",$D$2="Sapta sarana Sejahtera (Exim Bank)",$D$2="AIA",$D$2="FIF"),
IF(AND(Sheet2!E38&gt;0,Sheet2!E38&lt;=8),8,
IF(AND(Sheet2!E38&gt;8,Sheet2!E38&lt;=16),16,
IF(AND(Sheet2!E38&gt;16,Sheet2!E38&lt;=24),24,""))),
IF(AND(Sheet2!E38&gt;0,Sheet2!E38&lt;=1),1,
IF(AND(Sheet2!E38&gt;1,Sheet2!E38&lt;=2),2,
IF(AND(Sheet2!E38&gt;2,Sheet2!E38&lt;=3),3,
IF(AND(Sheet2!E38&gt;3,Sheet2!E38&lt;=4),4,
IF(AND(Sheet2!E38&gt;4,Sheet2!E38&lt;=5),5,
IF(AND(Sheet2!E38&gt;5,Sheet2!E38&lt;=6),6,
IF(AND(Sheet2!E38&gt;6,Sheet2!E38&lt;=7),7,
IF(AND(Sheet2!E38&gt;7,Sheet2!E38&lt;=8),8,
IF(AND(Sheet2!E38&gt;8,Sheet2!E38&lt;=9),9,
IF(AND(Sheet2!E38&gt;9,Sheet2!E38&lt;=10),10,
IF(AND(Sheet2!E38&gt;10,Sheet2!E38&lt;=11),11,
IF(AND(Sheet2!E38&gt;11,Sheet2!E38&lt;=12),12,
IF(AND(Sheet2!E38&gt;12,Sheet2!E38&lt;=13),13,
IF(AND(Sheet2!E38&gt;13,Sheet2!E38&lt;=14),14,
IF(AND(Sheet2!E38&gt;14,Sheet2!E38&lt;=15),15,
IF(AND(Sheet2!E38&gt;15,Sheet2!E38&lt;=16),16,
IF(AND(Sheet2!E38&gt;16,Sheet2!E38&lt;=17),17,
IF(AND(Sheet2!E38&gt;17,Sheet2!E38&lt;=18),18,
IF(AND(Sheet2!E38&gt;18,Sheet2!E38&lt;=19),19,
IF(AND(Sheet2!E38&gt;19,Sheet2!E38&lt;=20),20,
IF(AND(Sheet2!E38&gt;20,Sheet2!E38&lt;=21),21,
IF(AND(Sheet2!E38&gt;21,Sheet2!E38&lt;=22),22,
IF(AND(Sheet2!E38&gt;22,Sheet2!E38&lt;=23),23,
IF(AND(Sheet2!E38&gt;23,Sheet2!E38&lt;=24),24,""))))))))))))))))))))))))))))))),
IF(OR(AND(B45="Monday"),
AND(B45="Tuesday"),
AND(B45="Wednesday"),
AND(B45="Thursday"),
AND(B45="Friday")),
IF(SUM(IF(OR(J45="",J45="Leave",J45="sick"),0,IF(MINUTE(E45-D45)&gt;29,HOUR(E45-D45)+1,HOUR(E45-D45))),IF(AND(D46&gt;0,D46&lt;=E45),0,IF(OR(D46=0,J46="",J46="Leave",J46="sick"),0,IF(MINUTE(E46-D46)&gt;29,HOUR(E46-D46)+1,HOUR(E46-D46)))))&gt;4,
SUM(IF(OR(J45="",J45="Leave",J45="sick"),0,IF(MINUTE(E45-D45)&gt;29,HOUR(E45-D45)+1,HOUR(E45-D45))),IF(AND(D46&gt;0,D46&lt;=E45),0,IF(OR(D46=0,J46="",J46="Leave",J46="sick"),0,IF(MINUTE(E46-D46)&gt;29,HOUR(E46-D46)+1,HOUR(E46-D46)))))-1,
SUM(IF(OR(J45="",J45="Leave",J45="sick"),0,IF(MINUTE(E45-D45)&gt;29,HOUR(E45-D45)+1,HOUR(E45-D45))),IF(AND(D46&gt;0,D46&lt;=E45),0,IF(OR(D46=0,J46="",J46="Leave",J46="sick"),0,IF(MINUTE(E46-D46)&gt;29,HOUR(E46-D46)+1,HOUR(E46-D46)))))),""))),"")</f>
        <v>0</v>
      </c>
      <c r="G45" s="137" t="s">
        <v>206</v>
      </c>
      <c r="H45" s="139">
        <f t="shared" ref="H45" si="49">IFERROR(IF(SUM(IF(D45=0,0,IF(J45="Sick",IF(MINUTE(E45-D45)&gt;29,HOUR(E45-D45)+1,HOUR(E45-D45)),0)),IF(AND(D46&gt;0,D46&lt;=E45),0,IF(OR(E45=0,D46=0),0,IF(J46="Sick",IF(MINUTE(E46-D46)&gt;29,HOUR(E46-D46)+1,HOUR(E46-D46)),0))))=0,0,IF(SUM(IF(J45="Sick",IF(MINUTE(E45-D45)&gt;29,HOUR(E45-D45)+1,HOUR(E45-D45)),0),IF(J46="Sick",IF(MINUTE(E46-D46)&gt;29,HOUR(E46-D46)+1,HOUR(E46-D46)),0))&lt;=6,4,8)),"")</f>
        <v>0</v>
      </c>
      <c r="I45" s="131">
        <f t="shared" ref="I45" si="50">IFERROR(IF(SUM(IF(D45=0,0,IF(J45="Leave",IF(MINUTE(E45-D45)&gt;29,HOUR(E45-D45)+1,HOUR(E45-D45)),0)),IF(AND(D46&gt;0,D46&lt;=E45),0,IF(OR(E45=0,D46=0),0,IF(J46="leave",IF(MINUTE(E46-D46)&gt;29,HOUR(E46-D46)+1,HOUR(E46-D46)),0))))=0,0,IF(SUM(IF(J45="Leave",IF(MINUTE(E45-D45)&gt;29,HOUR(E45-D45)+1,HOUR(E45-D45)),0),IF(J46="leave",IF(MINUTE(E46-D46)&gt;29,HOUR(E46-D46)+1,HOUR(E46-D46)),0))&lt;=6,4,8)),"")</f>
        <v>0</v>
      </c>
      <c r="J45" s="126"/>
      <c r="K45" s="127"/>
      <c r="L45" s="127"/>
      <c r="M45" s="128"/>
      <c r="N45" s="156"/>
      <c r="O45" s="153"/>
      <c r="P45" s="153"/>
      <c r="Q45" s="153"/>
      <c r="R45" s="153"/>
      <c r="U45" s="115"/>
    </row>
    <row r="46" spans="2:21" s="66" customFormat="1" ht="18" customHeight="1" x14ac:dyDescent="0.45">
      <c r="B46" s="155"/>
      <c r="C46" s="136"/>
      <c r="D46" s="39"/>
      <c r="E46" s="39"/>
      <c r="F46" s="132"/>
      <c r="G46" s="138"/>
      <c r="H46" s="139"/>
      <c r="I46" s="132"/>
      <c r="J46" s="126"/>
      <c r="K46" s="127"/>
      <c r="L46" s="127"/>
      <c r="M46" s="128"/>
      <c r="N46" s="156"/>
      <c r="O46" s="153"/>
      <c r="P46" s="153"/>
      <c r="Q46" s="153"/>
      <c r="R46" s="153"/>
      <c r="U46" s="115"/>
    </row>
    <row r="47" spans="2:21" s="66" customFormat="1" ht="18" customHeight="1" x14ac:dyDescent="0.45">
      <c r="B47" s="154" t="str">
        <f t="shared" si="2"/>
        <v>Tuesday</v>
      </c>
      <c r="C47" s="136">
        <f t="shared" ref="C47" si="51">C45+1</f>
        <v>44761</v>
      </c>
      <c r="D47" s="39"/>
      <c r="E47" s="39"/>
      <c r="F47" s="131">
        <f>IFERROR(IF(D47=0,0,IF(OR(C47=List!$I$4,C47=List!$I$5,C47=List!$I$11,C47=List!$I$6,C47=List!$I$12,C47=List!$I$7,C47=List!$I$13,C47=List!$I$8,C47=List!$I$14,C47=List!$I$9,C47=List!$I$15,C47=List!$I$10,C47=List!$I$16,C47=List!$I$17,C47=List!$I$18,B47="Saturday",B47="Sunday"),
IF($D$2="","",
IF(AND(J47="",D47&gt;0,E47&gt;0),"",
IF(AND(D48&gt;0,E48&gt;0,J48=""),"",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IF(AND(Sheet2!E40&gt;0,Sheet2!E40&lt;=4),4,
IF(AND(Sheet2!E40&gt;4,Sheet2!E40&lt;=8),8,
IF(AND(Sheet2!E40&gt;8,Sheet2!E40&lt;=12),12,
IF(AND(Sheet2!E40&gt;12,Sheet2!E40&lt;=16),16,
IF(AND(Sheet2!E40&gt;16,Sheet2!E40&lt;=20),20,
IF(AND(Sheet2!E40&gt;20,Sheet2!E40&lt;=24),24,"")))))),
IF($D$2="CIFOR",
IF(AND(Sheet2!E40&gt;0,Sheet2!E40&lt;=9),9,
IF(AND(Sheet2!E40&gt;9,Sheet2!E40&lt;=18),18,
IF(AND(Sheet2!E40&gt;18,Sheet2!E40&lt;=24),24,""))),
IF(OR($D$2="Indika"),
IF(AND(Sheet2!E40&gt;0,Sheet2!E40&lt;=24),24,""),
IF(OR($D$2="BCA",$D$2="Bank Permata",$D$2="Sapta sarana Sejahtera (Exim Bank)",$D$2="AIA",$D$2="FIF"),
IF(AND(Sheet2!E40&gt;0,Sheet2!E40&lt;=8),8,
IF(AND(Sheet2!E40&gt;8,Sheet2!E40&lt;=16),16,
IF(AND(Sheet2!E40&gt;16,Sheet2!E40&lt;=24),24,""))),
IF(AND(Sheet2!E40&gt;0,Sheet2!E40&lt;=1),1,
IF(AND(Sheet2!E40&gt;1,Sheet2!E40&lt;=2),2,
IF(AND(Sheet2!E40&gt;2,Sheet2!E40&lt;=3),3,
IF(AND(Sheet2!E40&gt;3,Sheet2!E40&lt;=4),4,
IF(AND(Sheet2!E40&gt;4,Sheet2!E40&lt;=5),5,
IF(AND(Sheet2!E40&gt;5,Sheet2!E40&lt;=6),6,
IF(AND(Sheet2!E40&gt;6,Sheet2!E40&lt;=7),7,
IF(AND(Sheet2!E40&gt;7,Sheet2!E40&lt;=8),8,
IF(AND(Sheet2!E40&gt;8,Sheet2!E40&lt;=9),9,
IF(AND(Sheet2!E40&gt;9,Sheet2!E40&lt;=10),10,
IF(AND(Sheet2!E40&gt;10,Sheet2!E40&lt;=11),11,
IF(AND(Sheet2!E40&gt;11,Sheet2!E40&lt;=12),12,
IF(AND(Sheet2!E40&gt;12,Sheet2!E40&lt;=13),13,
IF(AND(Sheet2!E40&gt;13,Sheet2!E40&lt;=14),14,
IF(AND(Sheet2!E40&gt;14,Sheet2!E40&lt;=15),15,
IF(AND(Sheet2!E40&gt;15,Sheet2!E40&lt;=16),16,
IF(AND(Sheet2!E40&gt;16,Sheet2!E40&lt;=17),17,
IF(AND(Sheet2!E40&gt;17,Sheet2!E40&lt;=18),18,
IF(AND(Sheet2!E40&gt;18,Sheet2!E40&lt;=19),19,
IF(AND(Sheet2!E40&gt;19,Sheet2!E40&lt;=20),20,
IF(AND(Sheet2!E40&gt;20,Sheet2!E40&lt;=21),21,
IF(AND(Sheet2!E40&gt;21,Sheet2!E40&lt;=22),22,
IF(AND(Sheet2!E40&gt;22,Sheet2!E40&lt;=23),23,
IF(AND(Sheet2!E40&gt;23,Sheet2!E40&lt;=24),24,""))))))))))))))))))))))))))))))),
IF(OR(AND(B47="Monday"),
AND(B47="Tuesday"),
AND(B47="Wednesday"),
AND(B47="Thursday"),
AND(B47="Friday")),
IF(SUM(IF(OR(J47="",J47="Leave",J47="sick"),0,IF(MINUTE(E47-D47)&gt;29,HOUR(E47-D47)+1,HOUR(E47-D47))),IF(AND(D48&gt;0,D48&lt;=E47),0,IF(OR(D48=0,J48="",J48="Leave",J48="sick"),0,IF(MINUTE(E48-D48)&gt;29,HOUR(E48-D48)+1,HOUR(E48-D48)))))&gt;4,
SUM(IF(OR(J47="",J47="Leave",J47="sick"),0,IF(MINUTE(E47-D47)&gt;29,HOUR(E47-D47)+1,HOUR(E47-D47))),IF(AND(D48&gt;0,D48&lt;=E47),0,IF(OR(D48=0,J48="",J48="Leave",J48="sick"),0,IF(MINUTE(E48-D48)&gt;29,HOUR(E48-D48)+1,HOUR(E48-D48)))))-1,
SUM(IF(OR(J47="",J47="Leave",J47="sick"),0,IF(MINUTE(E47-D47)&gt;29,HOUR(E47-D47)+1,HOUR(E47-D47))),IF(AND(D48&gt;0,D48&lt;=E47),0,IF(OR(D48=0,J48="",J48="Leave",J48="sick"),0,IF(MINUTE(E48-D48)&gt;29,HOUR(E48-D48)+1,HOUR(E48-D48)))))),""))),"")</f>
        <v>0</v>
      </c>
      <c r="G47" s="137" t="s">
        <v>206</v>
      </c>
      <c r="H47" s="139">
        <f t="shared" ref="H47" si="52">IFERROR(IF(SUM(IF(D47=0,0,IF(J47="Sick",IF(MINUTE(E47-D47)&gt;29,HOUR(E47-D47)+1,HOUR(E47-D47)),0)),IF(AND(D48&gt;0,D48&lt;=E47),0,IF(OR(E47=0,D48=0),0,IF(J48="Sick",IF(MINUTE(E48-D48)&gt;29,HOUR(E48-D48)+1,HOUR(E48-D48)),0))))=0,0,IF(SUM(IF(J47="Sick",IF(MINUTE(E47-D47)&gt;29,HOUR(E47-D47)+1,HOUR(E47-D47)),0),IF(J48="Sick",IF(MINUTE(E48-D48)&gt;29,HOUR(E48-D48)+1,HOUR(E48-D48)),0))&lt;=6,4,8)),"")</f>
        <v>0</v>
      </c>
      <c r="I47" s="131">
        <f t="shared" ref="I47" si="53">IFERROR(IF(SUM(IF(D47=0,0,IF(J47="Leave",IF(MINUTE(E47-D47)&gt;29,HOUR(E47-D47)+1,HOUR(E47-D47)),0)),IF(AND(D48&gt;0,D48&lt;=E47),0,IF(OR(E47=0,D48=0),0,IF(J48="leave",IF(MINUTE(E48-D48)&gt;29,HOUR(E48-D48)+1,HOUR(E48-D48)),0))))=0,0,IF(SUM(IF(J47="Leave",IF(MINUTE(E47-D47)&gt;29,HOUR(E47-D47)+1,HOUR(E47-D47)),0),IF(J48="leave",IF(MINUTE(E48-D48)&gt;29,HOUR(E48-D48)+1,HOUR(E48-D48)),0))&lt;=6,4,8)),"")</f>
        <v>0</v>
      </c>
      <c r="J47" s="126"/>
      <c r="K47" s="127"/>
      <c r="L47" s="127"/>
      <c r="M47" s="128"/>
      <c r="N47" s="156"/>
      <c r="O47" s="153"/>
      <c r="P47" s="153"/>
      <c r="Q47" s="153"/>
      <c r="R47" s="153"/>
      <c r="U47" s="115"/>
    </row>
    <row r="48" spans="2:21" s="66" customFormat="1" ht="18" customHeight="1" x14ac:dyDescent="0.45">
      <c r="B48" s="155"/>
      <c r="C48" s="136"/>
      <c r="D48" s="39"/>
      <c r="E48" s="39"/>
      <c r="F48" s="132"/>
      <c r="G48" s="138"/>
      <c r="H48" s="139"/>
      <c r="I48" s="132"/>
      <c r="J48" s="126"/>
      <c r="K48" s="127"/>
      <c r="L48" s="127"/>
      <c r="M48" s="128"/>
      <c r="N48" s="156"/>
      <c r="O48" s="153"/>
      <c r="P48" s="153"/>
      <c r="Q48" s="153"/>
      <c r="R48" s="153"/>
      <c r="U48" s="115"/>
    </row>
    <row r="49" spans="2:21" s="66" customFormat="1" ht="18" customHeight="1" x14ac:dyDescent="0.45">
      <c r="B49" s="154" t="str">
        <f t="shared" si="2"/>
        <v>Wednesday</v>
      </c>
      <c r="C49" s="136">
        <f t="shared" ref="C49" si="54">C47+1</f>
        <v>44762</v>
      </c>
      <c r="D49" s="39"/>
      <c r="E49" s="39"/>
      <c r="F49" s="131">
        <f>IFERROR(IF(D49=0,0,IF(OR(C49=List!$I$4,C49=List!$I$5,C49=List!$I$11,C49=List!$I$6,C49=List!$I$12,C49=List!$I$7,C49=List!$I$13,C49=List!$I$8,C49=List!$I$14,C49=List!$I$9,C49=List!$I$15,C49=List!$I$10,C49=List!$I$16,C49=List!$I$17,C49=List!$I$18,B49="Saturday",B49="Sunday"),
IF($D$2="","",
IF(AND(J49="",D49&gt;0,E49&gt;0),"",
IF(AND(D50&gt;0,E50&gt;0,J50=""),"",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IF(AND(Sheet2!E42&gt;0,Sheet2!E42&lt;=4),4,
IF(AND(Sheet2!E42&gt;4,Sheet2!E42&lt;=8),8,
IF(AND(Sheet2!E42&gt;8,Sheet2!E42&lt;=12),12,
IF(AND(Sheet2!E42&gt;12,Sheet2!E42&lt;=16),16,
IF(AND(Sheet2!E42&gt;16,Sheet2!E42&lt;=20),20,
IF(AND(Sheet2!E42&gt;20,Sheet2!E42&lt;=24),24,"")))))),
IF($D$2="CIFOR",
IF(AND(Sheet2!E42&gt;0,Sheet2!E42&lt;=9),9,
IF(AND(Sheet2!E42&gt;9,Sheet2!E42&lt;=18),18,
IF(AND(Sheet2!E42&gt;18,Sheet2!E42&lt;=24),24,""))),
IF(OR($D$2="Indika"),
IF(AND(Sheet2!E42&gt;0,Sheet2!E42&lt;=24),24,""),
IF(OR($D$2="BCA",$D$2="Bank Permata",$D$2="Sapta sarana Sejahtera (Exim Bank)",$D$2="AIA",$D$2="FIF"),
IF(AND(Sheet2!E42&gt;0,Sheet2!E42&lt;=8),8,
IF(AND(Sheet2!E42&gt;8,Sheet2!E42&lt;=16),16,
IF(AND(Sheet2!E42&gt;16,Sheet2!E42&lt;=24),24,""))),
IF(AND(Sheet2!E42&gt;0,Sheet2!E42&lt;=1),1,
IF(AND(Sheet2!E42&gt;1,Sheet2!E42&lt;=2),2,
IF(AND(Sheet2!E42&gt;2,Sheet2!E42&lt;=3),3,
IF(AND(Sheet2!E42&gt;3,Sheet2!E42&lt;=4),4,
IF(AND(Sheet2!E42&gt;4,Sheet2!E42&lt;=5),5,
IF(AND(Sheet2!E42&gt;5,Sheet2!E42&lt;=6),6,
IF(AND(Sheet2!E42&gt;6,Sheet2!E42&lt;=7),7,
IF(AND(Sheet2!E42&gt;7,Sheet2!E42&lt;=8),8,
IF(AND(Sheet2!E42&gt;8,Sheet2!E42&lt;=9),9,
IF(AND(Sheet2!E42&gt;9,Sheet2!E42&lt;=10),10,
IF(AND(Sheet2!E42&gt;10,Sheet2!E42&lt;=11),11,
IF(AND(Sheet2!E42&gt;11,Sheet2!E42&lt;=12),12,
IF(AND(Sheet2!E42&gt;12,Sheet2!E42&lt;=13),13,
IF(AND(Sheet2!E42&gt;13,Sheet2!E42&lt;=14),14,
IF(AND(Sheet2!E42&gt;14,Sheet2!E42&lt;=15),15,
IF(AND(Sheet2!E42&gt;15,Sheet2!E42&lt;=16),16,
IF(AND(Sheet2!E42&gt;16,Sheet2!E42&lt;=17),17,
IF(AND(Sheet2!E42&gt;17,Sheet2!E42&lt;=18),18,
IF(AND(Sheet2!E42&gt;18,Sheet2!E42&lt;=19),19,
IF(AND(Sheet2!E42&gt;19,Sheet2!E42&lt;=20),20,
IF(AND(Sheet2!E42&gt;20,Sheet2!E42&lt;=21),21,
IF(AND(Sheet2!E42&gt;21,Sheet2!E42&lt;=22),22,
IF(AND(Sheet2!E42&gt;22,Sheet2!E42&lt;=23),23,
IF(AND(Sheet2!E42&gt;23,Sheet2!E42&lt;=24),24,""))))))))))))))))))))))))))))))),
IF(OR(AND(B49="Monday"),
AND(B49="Tuesday"),
AND(B49="Wednesday"),
AND(B49="Thursday"),
AND(B49="Friday")),
IF(SUM(IF(OR(J49="",J49="Leave",J49="sick"),0,IF(MINUTE(E49-D49)&gt;29,HOUR(E49-D49)+1,HOUR(E49-D49))),IF(AND(D50&gt;0,D50&lt;=E49),0,IF(OR(D50=0,J50="",J50="Leave",J50="sick"),0,IF(MINUTE(E50-D50)&gt;29,HOUR(E50-D50)+1,HOUR(E50-D50)))))&gt;4,
SUM(IF(OR(J49="",J49="Leave",J49="sick"),0,IF(MINUTE(E49-D49)&gt;29,HOUR(E49-D49)+1,HOUR(E49-D49))),IF(AND(D50&gt;0,D50&lt;=E49),0,IF(OR(D50=0,J50="",J50="Leave",J50="sick"),0,IF(MINUTE(E50-D50)&gt;29,HOUR(E50-D50)+1,HOUR(E50-D50)))))-1,
SUM(IF(OR(J49="",J49="Leave",J49="sick"),0,IF(MINUTE(E49-D49)&gt;29,HOUR(E49-D49)+1,HOUR(E49-D49))),IF(AND(D50&gt;0,D50&lt;=E49),0,IF(OR(D50=0,J50="",J50="Leave",J50="sick"),0,IF(MINUTE(E50-D50)&gt;29,HOUR(E50-D50)+1,HOUR(E50-D50)))))),""))),"")</f>
        <v>0</v>
      </c>
      <c r="G49" s="137" t="s">
        <v>206</v>
      </c>
      <c r="H49" s="139">
        <f t="shared" ref="H49" si="55">IFERROR(IF(SUM(IF(D49=0,0,IF(J49="Sick",IF(MINUTE(E49-D49)&gt;29,HOUR(E49-D49)+1,HOUR(E49-D49)),0)),IF(AND(D50&gt;0,D50&lt;=E49),0,IF(OR(E49=0,D50=0),0,IF(J50="Sick",IF(MINUTE(E50-D50)&gt;29,HOUR(E50-D50)+1,HOUR(E50-D50)),0))))=0,0,IF(SUM(IF(J49="Sick",IF(MINUTE(E49-D49)&gt;29,HOUR(E49-D49)+1,HOUR(E49-D49)),0),IF(J50="Sick",IF(MINUTE(E50-D50)&gt;29,HOUR(E50-D50)+1,HOUR(E50-D50)),0))&lt;=6,4,8)),"")</f>
        <v>0</v>
      </c>
      <c r="I49" s="131">
        <f t="shared" ref="I49" si="56">IFERROR(IF(SUM(IF(D49=0,0,IF(J49="Leave",IF(MINUTE(E49-D49)&gt;29,HOUR(E49-D49)+1,HOUR(E49-D49)),0)),IF(AND(D50&gt;0,D50&lt;=E49),0,IF(OR(E49=0,D50=0),0,IF(J50="leave",IF(MINUTE(E50-D50)&gt;29,HOUR(E50-D50)+1,HOUR(E50-D50)),0))))=0,0,IF(SUM(IF(J49="Leave",IF(MINUTE(E49-D49)&gt;29,HOUR(E49-D49)+1,HOUR(E49-D49)),0),IF(J50="leave",IF(MINUTE(E50-D50)&gt;29,HOUR(E50-D50)+1,HOUR(E50-D50)),0))&lt;=6,4,8)),"")</f>
        <v>0</v>
      </c>
      <c r="J49" s="126"/>
      <c r="K49" s="127"/>
      <c r="L49" s="127"/>
      <c r="M49" s="128"/>
      <c r="N49" s="156"/>
      <c r="O49" s="153"/>
      <c r="P49" s="153"/>
      <c r="Q49" s="153"/>
      <c r="R49" s="153"/>
      <c r="U49" s="115"/>
    </row>
    <row r="50" spans="2:21" s="66" customFormat="1" ht="18" customHeight="1" x14ac:dyDescent="0.45">
      <c r="B50" s="155"/>
      <c r="C50" s="136"/>
      <c r="D50" s="39"/>
      <c r="E50" s="39"/>
      <c r="F50" s="132"/>
      <c r="G50" s="138"/>
      <c r="H50" s="139"/>
      <c r="I50" s="132"/>
      <c r="J50" s="126"/>
      <c r="K50" s="127"/>
      <c r="L50" s="127"/>
      <c r="M50" s="128"/>
      <c r="N50" s="153"/>
      <c r="O50" s="153"/>
      <c r="P50" s="153"/>
      <c r="Q50" s="153"/>
      <c r="R50" s="153"/>
      <c r="U50" s="115"/>
    </row>
    <row r="51" spans="2:21" s="66" customFormat="1" ht="18" customHeight="1" x14ac:dyDescent="0.45">
      <c r="B51" s="154" t="str">
        <f t="shared" si="2"/>
        <v>Thursday</v>
      </c>
      <c r="C51" s="136">
        <f t="shared" ref="C51" si="57">C49+1</f>
        <v>44763</v>
      </c>
      <c r="D51" s="39"/>
      <c r="E51" s="39"/>
      <c r="F51" s="131">
        <f>IFERROR(IF(D51=0,0,IF(OR(C51=List!$I$4,C51=List!$I$5,C51=List!$I$11,C51=List!$I$6,C51=List!$I$12,C51=List!$I$7,C51=List!$I$13,C51=List!$I$8,C51=List!$I$14,C51=List!$I$9,C51=List!$I$15,C51=List!$I$10,C51=List!$I$16,C51=List!$I$17,C51=List!$I$18,B51="Saturday",B51="Sunday"),
IF($D$2="","",
IF(AND(J51="",D51&gt;0,E51&gt;0),"",
IF(AND(D52&gt;0,E52&gt;0,J52=""),"",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IF(AND(Sheet2!E44&gt;0,Sheet2!E44&lt;=4),4,
IF(AND(Sheet2!E44&gt;4,Sheet2!E44&lt;=8),8,
IF(AND(Sheet2!E44&gt;8,Sheet2!E44&lt;=12),12,
IF(AND(Sheet2!E44&gt;12,Sheet2!E44&lt;=16),16,
IF(AND(Sheet2!E44&gt;16,Sheet2!E44&lt;=20),20,
IF(AND(Sheet2!E44&gt;20,Sheet2!E44&lt;=24),24,"")))))),
IF($D$2="CIFOR",
IF(AND(Sheet2!E44&gt;0,Sheet2!E44&lt;=9),9,
IF(AND(Sheet2!E44&gt;9,Sheet2!E44&lt;=18),18,
IF(AND(Sheet2!E44&gt;18,Sheet2!E44&lt;=24),24,""))),
IF(OR($D$2="Indika"),
IF(AND(Sheet2!E44&gt;0,Sheet2!E44&lt;=24),24,""),
IF(OR($D$2="BCA",$D$2="Bank Permata",$D$2="Sapta sarana Sejahtera (Exim Bank)",$D$2="AIA",$D$2="FIF"),
IF(AND(Sheet2!E44&gt;0,Sheet2!E44&lt;=8),8,
IF(AND(Sheet2!E44&gt;8,Sheet2!E44&lt;=16),16,
IF(AND(Sheet2!E44&gt;16,Sheet2!E44&lt;=24),24,""))),
IF(AND(Sheet2!E44&gt;0,Sheet2!E44&lt;=1),1,
IF(AND(Sheet2!E44&gt;1,Sheet2!E44&lt;=2),2,
IF(AND(Sheet2!E44&gt;2,Sheet2!E44&lt;=3),3,
IF(AND(Sheet2!E44&gt;3,Sheet2!E44&lt;=4),4,
IF(AND(Sheet2!E44&gt;4,Sheet2!E44&lt;=5),5,
IF(AND(Sheet2!E44&gt;5,Sheet2!E44&lt;=6),6,
IF(AND(Sheet2!E44&gt;6,Sheet2!E44&lt;=7),7,
IF(AND(Sheet2!E44&gt;7,Sheet2!E44&lt;=8),8,
IF(AND(Sheet2!E44&gt;8,Sheet2!E44&lt;=9),9,
IF(AND(Sheet2!E44&gt;9,Sheet2!E44&lt;=10),10,
IF(AND(Sheet2!E44&gt;10,Sheet2!E44&lt;=11),11,
IF(AND(Sheet2!E44&gt;11,Sheet2!E44&lt;=12),12,
IF(AND(Sheet2!E44&gt;12,Sheet2!E44&lt;=13),13,
IF(AND(Sheet2!E44&gt;13,Sheet2!E44&lt;=14),14,
IF(AND(Sheet2!E44&gt;14,Sheet2!E44&lt;=15),15,
IF(AND(Sheet2!E44&gt;15,Sheet2!E44&lt;=16),16,
IF(AND(Sheet2!E44&gt;16,Sheet2!E44&lt;=17),17,
IF(AND(Sheet2!E44&gt;17,Sheet2!E44&lt;=18),18,
IF(AND(Sheet2!E44&gt;18,Sheet2!E44&lt;=19),19,
IF(AND(Sheet2!E44&gt;19,Sheet2!E44&lt;=20),20,
IF(AND(Sheet2!E44&gt;20,Sheet2!E44&lt;=21),21,
IF(AND(Sheet2!E44&gt;21,Sheet2!E44&lt;=22),22,
IF(AND(Sheet2!E44&gt;22,Sheet2!E44&lt;=23),23,
IF(AND(Sheet2!E44&gt;23,Sheet2!E44&lt;=24),24,""))))))))))))))))))))))))))))))),
IF(OR(AND(B51="Monday"),
AND(B51="Tuesday"),
AND(B51="Wednesday"),
AND(B51="Thursday"),
AND(B51="Friday")),
IF(SUM(IF(OR(J51="",J51="Leave",J51="sick"),0,IF(MINUTE(E51-D51)&gt;29,HOUR(E51-D51)+1,HOUR(E51-D51))),IF(AND(D52&gt;0,D52&lt;=E51),0,IF(OR(D52=0,J52="",J52="Leave",J52="sick"),0,IF(MINUTE(E52-D52)&gt;29,HOUR(E52-D52)+1,HOUR(E52-D52)))))&gt;4,
SUM(IF(OR(J51="",J51="Leave",J51="sick"),0,IF(MINUTE(E51-D51)&gt;29,HOUR(E51-D51)+1,HOUR(E51-D51))),IF(AND(D52&gt;0,D52&lt;=E51),0,IF(OR(D52=0,J52="",J52="Leave",J52="sick"),0,IF(MINUTE(E52-D52)&gt;29,HOUR(E52-D52)+1,HOUR(E52-D52)))))-1,
SUM(IF(OR(J51="",J51="Leave",J51="sick"),0,IF(MINUTE(E51-D51)&gt;29,HOUR(E51-D51)+1,HOUR(E51-D51))),IF(AND(D52&gt;0,D52&lt;=E51),0,IF(OR(D52=0,J52="",J52="Leave",J52="sick"),0,IF(MINUTE(E52-D52)&gt;29,HOUR(E52-D52)+1,HOUR(E52-D52)))))),""))),"")</f>
        <v>0</v>
      </c>
      <c r="G51" s="137" t="s">
        <v>206</v>
      </c>
      <c r="H51" s="139">
        <f>IFERROR(IF(SUM(IF(D51=0,0,IF(J51="Sick",IF(MINUTE(E51-D51)&gt;29,HOUR(E51-D51)+1,HOUR(E51-D51)),0)),IF(AND(D52&gt;0,D52&lt;=E51),0,IF(OR(E51=0,D52=0),0,IF(J52="Sick",IF(MINUTE(E52-D52)&gt;29,HOUR(E52-D52)+1,HOUR(E52-D52)),0))))=0,0,IF(SUM(IF(J51="Sick",IF(MINUTE(E51-D51)&gt;29,HOUR(E51-D51)+1,HOUR(E51-D51)),0),IF(J52="Sick",IF(MINUTE(E52-D52)&gt;29,HOUR(E52-D52)+1,HOUR(E52-D52)),0))&lt;=6,4,8)),"")</f>
        <v>0</v>
      </c>
      <c r="I51" s="131">
        <f>IFERROR(IF(SUM(IF(D51=0,0,IF(J51="Leave",IF(MINUTE(E51-D51)&gt;29,HOUR(E51-D51)+1,HOUR(E51-D51)),0)),IF(AND(D52&gt;0,D52&lt;=E51),0,IF(OR(E51=0,D52=0),0,IF(J52="leave",IF(MINUTE(E52-D52)&gt;29,HOUR(E52-D52)+1,HOUR(E52-D52)),0))))=0,0,IF(SUM(IF(J51="Leave",IF(MINUTE(E51-D51)&gt;29,HOUR(E51-D51)+1,HOUR(E51-D51)),0),IF(J52="leave",IF(MINUTE(E52-D52)&gt;29,HOUR(E52-D52)+1,HOUR(E52-D52)),0))&lt;=6,4,8)),"")</f>
        <v>0</v>
      </c>
      <c r="J51" s="126"/>
      <c r="K51" s="127"/>
      <c r="L51" s="127"/>
      <c r="M51" s="128"/>
      <c r="N51" s="153"/>
      <c r="O51" s="153"/>
      <c r="P51" s="153"/>
      <c r="Q51" s="153"/>
      <c r="R51" s="153"/>
      <c r="U51" s="115"/>
    </row>
    <row r="52" spans="2:21" s="66" customFormat="1" ht="18" customHeight="1" x14ac:dyDescent="0.45">
      <c r="B52" s="155"/>
      <c r="C52" s="136"/>
      <c r="D52" s="39"/>
      <c r="E52" s="39"/>
      <c r="F52" s="132"/>
      <c r="G52" s="138"/>
      <c r="H52" s="139"/>
      <c r="I52" s="132"/>
      <c r="J52" s="126"/>
      <c r="K52" s="127"/>
      <c r="L52" s="127"/>
      <c r="M52" s="128"/>
      <c r="N52" s="153"/>
      <c r="O52" s="153"/>
      <c r="P52" s="153"/>
      <c r="Q52" s="153"/>
      <c r="R52" s="153"/>
      <c r="U52" s="115"/>
    </row>
    <row r="53" spans="2:21" s="66" customFormat="1" ht="18" customHeight="1" x14ac:dyDescent="0.45">
      <c r="B53" s="154" t="str">
        <f t="shared" si="2"/>
        <v>Friday</v>
      </c>
      <c r="C53" s="136">
        <f t="shared" ref="C53" si="58">C51+1</f>
        <v>44764</v>
      </c>
      <c r="D53" s="39"/>
      <c r="E53" s="39"/>
      <c r="F53" s="131">
        <f>IFERROR(IF(D53=0,0,IF(OR(C53=List!$I$4,C53=List!$I$5,C53=List!$I$11,C53=List!$I$6,C53=List!$I$12,C53=List!$I$7,C53=List!$I$13,C53=List!$I$8,C53=List!$I$14,C53=List!$I$9,C53=List!$I$15,C53=List!$I$10,C53=List!$I$16,C53=List!$I$17,C53=List!$I$18,B53="Saturday",B53="Sunday"),
IF($D$2="","",
IF(AND(J53="",D53&gt;0,E53&gt;0),"",
IF(AND(D54&gt;0,E54&gt;0,J54=""),"",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IF(AND(Sheet2!E46&gt;0,Sheet2!E46&lt;=4),4,
IF(AND(Sheet2!E46&gt;4,Sheet2!E46&lt;=8),8,
IF(AND(Sheet2!E46&gt;8,Sheet2!E46&lt;=12),12,
IF(AND(Sheet2!E46&gt;12,Sheet2!E46&lt;=16),16,
IF(AND(Sheet2!E46&gt;16,Sheet2!E46&lt;=20),20,
IF(AND(Sheet2!E46&gt;20,Sheet2!E46&lt;=24),24,"")))))),
IF($D$2="CIFOR",
IF(AND(Sheet2!E46&gt;0,Sheet2!E46&lt;=9),9,
IF(AND(Sheet2!E46&gt;9,Sheet2!E46&lt;=18),18,
IF(AND(Sheet2!E46&gt;18,Sheet2!E46&lt;=24),24,""))),
IF(OR($D$2="Indika"),
IF(AND(Sheet2!E46&gt;0,Sheet2!E46&lt;=24),24,""),
IF(OR($D$2="BCA",$D$2="Bank Permata",$D$2="Sapta sarana Sejahtera (Exim Bank)",$D$2="AIA",$D$2="FIF"),
IF(AND(Sheet2!E46&gt;0,Sheet2!E46&lt;=8),8,
IF(AND(Sheet2!E46&gt;8,Sheet2!E46&lt;=16),16,
IF(AND(Sheet2!E46&gt;16,Sheet2!E46&lt;=24),24,""))),
IF(AND(Sheet2!E46&gt;0,Sheet2!E46&lt;=1),1,
IF(AND(Sheet2!E46&gt;1,Sheet2!E46&lt;=2),2,
IF(AND(Sheet2!E46&gt;2,Sheet2!E46&lt;=3),3,
IF(AND(Sheet2!E46&gt;3,Sheet2!E46&lt;=4),4,
IF(AND(Sheet2!E46&gt;4,Sheet2!E46&lt;=5),5,
IF(AND(Sheet2!E46&gt;5,Sheet2!E46&lt;=6),6,
IF(AND(Sheet2!E46&gt;6,Sheet2!E46&lt;=7),7,
IF(AND(Sheet2!E46&gt;7,Sheet2!E46&lt;=8),8,
IF(AND(Sheet2!E46&gt;8,Sheet2!E46&lt;=9),9,
IF(AND(Sheet2!E46&gt;9,Sheet2!E46&lt;=10),10,
IF(AND(Sheet2!E46&gt;10,Sheet2!E46&lt;=11),11,
IF(AND(Sheet2!E46&gt;11,Sheet2!E46&lt;=12),12,
IF(AND(Sheet2!E46&gt;12,Sheet2!E46&lt;=13),13,
IF(AND(Sheet2!E46&gt;13,Sheet2!E46&lt;=14),14,
IF(AND(Sheet2!E46&gt;14,Sheet2!E46&lt;=15),15,
IF(AND(Sheet2!E46&gt;15,Sheet2!E46&lt;=16),16,
IF(AND(Sheet2!E46&gt;16,Sheet2!E46&lt;=17),17,
IF(AND(Sheet2!E46&gt;17,Sheet2!E46&lt;=18),18,
IF(AND(Sheet2!E46&gt;18,Sheet2!E46&lt;=19),19,
IF(AND(Sheet2!E46&gt;19,Sheet2!E46&lt;=20),20,
IF(AND(Sheet2!E46&gt;20,Sheet2!E46&lt;=21),21,
IF(AND(Sheet2!E46&gt;21,Sheet2!E46&lt;=22),22,
IF(AND(Sheet2!E46&gt;22,Sheet2!E46&lt;=23),23,
IF(AND(Sheet2!E46&gt;23,Sheet2!E46&lt;=24),24,""))))))))))))))))))))))))))))))),
IF(OR(AND(B53="Monday"),
AND(B53="Tuesday"),
AND(B53="Wednesday"),
AND(B53="Thursday"),
AND(B53="Friday")),
IF(SUM(IF(OR(J53="",J53="Leave",J53="sick"),0,IF(MINUTE(E53-D53)&gt;29,HOUR(E53-D53)+1,HOUR(E53-D53))),IF(AND(D54&gt;0,D54&lt;=E53),0,IF(OR(D54=0,J54="",J54="Leave",J54="sick"),0,IF(MINUTE(E54-D54)&gt;29,HOUR(E54-D54)+1,HOUR(E54-D54)))))&gt;4,
SUM(IF(OR(J53="",J53="Leave",J53="sick"),0,IF(MINUTE(E53-D53)&gt;29,HOUR(E53-D53)+1,HOUR(E53-D53))),IF(AND(D54&gt;0,D54&lt;=E53),0,IF(OR(D54=0,J54="",J54="Leave",J54="sick"),0,IF(MINUTE(E54-D54)&gt;29,HOUR(E54-D54)+1,HOUR(E54-D54)))))-1,
SUM(IF(OR(J53="",J53="Leave",J53="sick"),0,IF(MINUTE(E53-D53)&gt;29,HOUR(E53-D53)+1,HOUR(E53-D53))),IF(AND(D54&gt;0,D54&lt;=E53),0,IF(OR(D54=0,J54="",J54="Leave",J54="sick"),0,IF(MINUTE(E54-D54)&gt;29,HOUR(E54-D54)+1,HOUR(E54-D54)))))),""))),"")</f>
        <v>0</v>
      </c>
      <c r="G53" s="137" t="s">
        <v>206</v>
      </c>
      <c r="H53" s="139">
        <f t="shared" ref="H53" si="59">IFERROR(IF(SUM(IF(D53=0,0,IF(J53="Sick",IF(MINUTE(E53-D53)&gt;29,HOUR(E53-D53)+1,HOUR(E53-D53)),0)),IF(AND(D54&gt;0,D54&lt;=E53),0,IF(OR(E53=0,D54=0),0,IF(J54="Sick",IF(MINUTE(E54-D54)&gt;29,HOUR(E54-D54)+1,HOUR(E54-D54)),0))))=0,0,IF(SUM(IF(J53="Sick",IF(MINUTE(E53-D53)&gt;29,HOUR(E53-D53)+1,HOUR(E53-D53)),0),IF(J54="Sick",IF(MINUTE(E54-D54)&gt;29,HOUR(E54-D54)+1,HOUR(E54-D54)),0))&lt;=6,4,8)),"")</f>
        <v>0</v>
      </c>
      <c r="I53" s="131">
        <f t="shared" ref="I53" si="60">IFERROR(IF(SUM(IF(D53=0,0,IF(J53="Leave",IF(MINUTE(E53-D53)&gt;29,HOUR(E53-D53)+1,HOUR(E53-D53)),0)),IF(AND(D54&gt;0,D54&lt;=E53),0,IF(OR(E53=0,D54=0),0,IF(J54="leave",IF(MINUTE(E54-D54)&gt;29,HOUR(E54-D54)+1,HOUR(E54-D54)),0))))=0,0,IF(SUM(IF(J53="Leave",IF(MINUTE(E53-D53)&gt;29,HOUR(E53-D53)+1,HOUR(E53-D53)),0),IF(J54="leave",IF(MINUTE(E54-D54)&gt;29,HOUR(E54-D54)+1,HOUR(E54-D54)),0))&lt;=6,4,8)),"")</f>
        <v>0</v>
      </c>
      <c r="J53" s="126"/>
      <c r="K53" s="127"/>
      <c r="L53" s="127"/>
      <c r="M53" s="128"/>
      <c r="N53" s="153"/>
      <c r="O53" s="153"/>
      <c r="P53" s="153"/>
      <c r="Q53" s="153"/>
      <c r="R53" s="153"/>
      <c r="U53" s="115"/>
    </row>
    <row r="54" spans="2:21" s="66" customFormat="1" ht="18" customHeight="1" x14ac:dyDescent="0.45">
      <c r="B54" s="155"/>
      <c r="C54" s="136"/>
      <c r="D54" s="39"/>
      <c r="E54" s="39"/>
      <c r="F54" s="132"/>
      <c r="G54" s="138"/>
      <c r="H54" s="139"/>
      <c r="I54" s="132"/>
      <c r="J54" s="126"/>
      <c r="K54" s="127"/>
      <c r="L54" s="127"/>
      <c r="M54" s="128"/>
      <c r="N54" s="153"/>
      <c r="O54" s="153"/>
      <c r="P54" s="153"/>
      <c r="Q54" s="153"/>
      <c r="R54" s="153"/>
      <c r="U54" s="115"/>
    </row>
    <row r="55" spans="2:21" s="66" customFormat="1" ht="18" customHeight="1" x14ac:dyDescent="0.45">
      <c r="B55" s="151" t="str">
        <f t="shared" si="2"/>
        <v>Saturday</v>
      </c>
      <c r="C55" s="135">
        <f t="shared" ref="C55" si="61">C53+1</f>
        <v>44765</v>
      </c>
      <c r="D55" s="117"/>
      <c r="E55" s="117"/>
      <c r="F55" s="129">
        <f>IFERROR(IF(D55=0,0,IF(OR(C55=List!$I$4,C55=List!$I$5,C55=List!$I$11,C55=List!$I$6,C55=List!$I$12,C55=List!$I$7,C55=List!$I$13,C55=List!$I$8,C55=List!$I$14,C55=List!$I$9,C55=List!$I$15,C55=List!$I$10,C55=List!$I$16,C55=List!$I$17,C55=List!$I$18,B55="Saturday",B55="Sunday"),
IF($D$2="","",
IF(AND(J55="",D55&gt;0,E55&gt;0),"",
IF(AND(D56&gt;0,E56&gt;0,J56=""),"",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IF(AND(Sheet2!E48&gt;0,Sheet2!E48&lt;=4),4,
IF(AND(Sheet2!E48&gt;4,Sheet2!E48&lt;=8),8,
IF(AND(Sheet2!E48&gt;8,Sheet2!E48&lt;=12),12,
IF(AND(Sheet2!E48&gt;12,Sheet2!E48&lt;=16),16,
IF(AND(Sheet2!E48&gt;16,Sheet2!E48&lt;=20),20,
IF(AND(Sheet2!E48&gt;20,Sheet2!E48&lt;=24),24,"")))))),
IF($D$2="CIFOR",
IF(AND(Sheet2!E48&gt;0,Sheet2!E48&lt;=9),9,
IF(AND(Sheet2!E48&gt;9,Sheet2!E48&lt;=18),18,
IF(AND(Sheet2!E48&gt;18,Sheet2!E48&lt;=24),24,""))),
IF(OR($D$2="Indika"),
IF(AND(Sheet2!E48&gt;0,Sheet2!E48&lt;=24),24,""),
IF(OR($D$2="BCA",$D$2="Bank Permata",$D$2="Sapta sarana Sejahtera (Exim Bank)",$D$2="AIA",$D$2="FIF"),
IF(AND(Sheet2!E48&gt;0,Sheet2!E48&lt;=8),8,
IF(AND(Sheet2!E48&gt;8,Sheet2!E48&lt;=16),16,
IF(AND(Sheet2!E48&gt;16,Sheet2!E48&lt;=24),24,""))),
IF(AND(Sheet2!E48&gt;0,Sheet2!E48&lt;=1),1,
IF(AND(Sheet2!E48&gt;1,Sheet2!E48&lt;=2),2,
IF(AND(Sheet2!E48&gt;2,Sheet2!E48&lt;=3),3,
IF(AND(Sheet2!E48&gt;3,Sheet2!E48&lt;=4),4,
IF(AND(Sheet2!E48&gt;4,Sheet2!E48&lt;=5),5,
IF(AND(Sheet2!E48&gt;5,Sheet2!E48&lt;=6),6,
IF(AND(Sheet2!E48&gt;6,Sheet2!E48&lt;=7),7,
IF(AND(Sheet2!E48&gt;7,Sheet2!E48&lt;=8),8,
IF(AND(Sheet2!E48&gt;8,Sheet2!E48&lt;=9),9,
IF(AND(Sheet2!E48&gt;9,Sheet2!E48&lt;=10),10,
IF(AND(Sheet2!E48&gt;10,Sheet2!E48&lt;=11),11,
IF(AND(Sheet2!E48&gt;11,Sheet2!E48&lt;=12),12,
IF(AND(Sheet2!E48&gt;12,Sheet2!E48&lt;=13),13,
IF(AND(Sheet2!E48&gt;13,Sheet2!E48&lt;=14),14,
IF(AND(Sheet2!E48&gt;14,Sheet2!E48&lt;=15),15,
IF(AND(Sheet2!E48&gt;15,Sheet2!E48&lt;=16),16,
IF(AND(Sheet2!E48&gt;16,Sheet2!E48&lt;=17),17,
IF(AND(Sheet2!E48&gt;17,Sheet2!E48&lt;=18),18,
IF(AND(Sheet2!E48&gt;18,Sheet2!E48&lt;=19),19,
IF(AND(Sheet2!E48&gt;19,Sheet2!E48&lt;=20),20,
IF(AND(Sheet2!E48&gt;20,Sheet2!E48&lt;=21),21,
IF(AND(Sheet2!E48&gt;21,Sheet2!E48&lt;=22),22,
IF(AND(Sheet2!E48&gt;22,Sheet2!E48&lt;=23),23,
IF(AND(Sheet2!E48&gt;23,Sheet2!E48&lt;=24),24,""))))))))))))))))))))))))))))))),
IF(OR(AND(B55="Monday"),
AND(B55="Tuesday"),
AND(B55="Wednesday"),
AND(B55="Thursday"),
AND(B55="Friday")),
IF(SUM(IF(OR(J55="",J55="Leave",J55="sick"),0,IF(MINUTE(E55-D55)&gt;29,HOUR(E55-D55)+1,HOUR(E55-D55))),IF(AND(D56&gt;0,D56&lt;=E55),0,IF(OR(D56=0,J56="",J56="Leave",J56="sick"),0,IF(MINUTE(E56-D56)&gt;29,HOUR(E56-D56)+1,HOUR(E56-D56)))))&gt;4,
SUM(IF(OR(J55="",J55="Leave",J55="sick"),0,IF(MINUTE(E55-D55)&gt;29,HOUR(E55-D55)+1,HOUR(E55-D55))),IF(AND(D56&gt;0,D56&lt;=E55),0,IF(OR(D56=0,J56="",J56="Leave",J56="sick"),0,IF(MINUTE(E56-D56)&gt;29,HOUR(E56-D56)+1,HOUR(E56-D56)))))-1,
SUM(IF(OR(J55="",J55="Leave",J55="sick"),0,IF(MINUTE(E55-D55)&gt;29,HOUR(E55-D55)+1,HOUR(E55-D55))),IF(AND(D56&gt;0,D56&lt;=E55),0,IF(OR(D56=0,J56="",J56="Leave",J56="sick"),0,IF(MINUTE(E56-D56)&gt;29,HOUR(E56-D56)+1,HOUR(E56-D56)))))),""))),"")</f>
        <v>0</v>
      </c>
      <c r="G55" s="143" t="s">
        <v>206</v>
      </c>
      <c r="H55" s="140">
        <f t="shared" ref="H55" si="62">IFERROR(IF(SUM(IF(D55=0,0,IF(J55="Sick",IF(MINUTE(E55-D55)&gt;29,HOUR(E55-D55)+1,HOUR(E55-D55)),0)),IF(AND(D56&gt;0,D56&lt;=E55),0,IF(OR(E55=0,D56=0),0,IF(J56="Sick",IF(MINUTE(E56-D56)&gt;29,HOUR(E56-D56)+1,HOUR(E56-D56)),0))))=0,0,IF(SUM(IF(J55="Sick",IF(MINUTE(E55-D55)&gt;29,HOUR(E55-D55)+1,HOUR(E55-D55)),0),IF(J56="Sick",IF(MINUTE(E56-D56)&gt;29,HOUR(E56-D56)+1,HOUR(E56-D56)),0))&lt;=6,4,8)),"")</f>
        <v>0</v>
      </c>
      <c r="I55" s="129">
        <f t="shared" ref="I55" si="63">IFERROR(IF(SUM(IF(D55=0,0,IF(J55="Leave",IF(MINUTE(E55-D55)&gt;29,HOUR(E55-D55)+1,HOUR(E55-D55)),0)),IF(AND(D56&gt;0,D56&lt;=E55),0,IF(OR(E55=0,D56=0),0,IF(J56="leave",IF(MINUTE(E56-D56)&gt;29,HOUR(E56-D56)+1,HOUR(E56-D56)),0))))=0,0,IF(SUM(IF(J55="Leave",IF(MINUTE(E55-D55)&gt;29,HOUR(E55-D55)+1,HOUR(E55-D55)),0),IF(J56="leave",IF(MINUTE(E56-D56)&gt;29,HOUR(E56-D56)+1,HOUR(E56-D56)),0))&lt;=6,4,8)),"")</f>
        <v>0</v>
      </c>
      <c r="J55" s="123"/>
      <c r="K55" s="124"/>
      <c r="L55" s="124"/>
      <c r="M55" s="125"/>
      <c r="N55" s="157"/>
      <c r="O55" s="157"/>
      <c r="P55" s="157"/>
      <c r="Q55" s="157"/>
      <c r="R55" s="157"/>
      <c r="U55" s="115"/>
    </row>
    <row r="56" spans="2:21" s="66" customFormat="1" ht="18" customHeight="1" x14ac:dyDescent="0.45">
      <c r="B56" s="152"/>
      <c r="C56" s="135"/>
      <c r="D56" s="117"/>
      <c r="E56" s="117"/>
      <c r="F56" s="130"/>
      <c r="G56" s="144"/>
      <c r="H56" s="140"/>
      <c r="I56" s="130"/>
      <c r="J56" s="123"/>
      <c r="K56" s="124"/>
      <c r="L56" s="124"/>
      <c r="M56" s="125"/>
      <c r="N56" s="157"/>
      <c r="O56" s="157"/>
      <c r="P56" s="157"/>
      <c r="Q56" s="157"/>
      <c r="R56" s="157"/>
      <c r="U56" s="115"/>
    </row>
    <row r="57" spans="2:21" s="66" customFormat="1" ht="18" customHeight="1" x14ac:dyDescent="0.45">
      <c r="B57" s="151" t="str">
        <f t="shared" si="2"/>
        <v>Sunday</v>
      </c>
      <c r="C57" s="135">
        <f t="shared" ref="C57" si="64">C55+1</f>
        <v>44766</v>
      </c>
      <c r="D57" s="117"/>
      <c r="E57" s="117"/>
      <c r="F57" s="129">
        <f>IFERROR(IF(D57=0,0,IF(OR(C57=List!$I$4,C57=List!$I$5,C57=List!$I$11,C57=List!$I$6,C57=List!$I$12,C57=List!$I$7,C57=List!$I$13,C57=List!$I$8,C57=List!$I$14,C57=List!$I$9,C57=List!$I$15,C57=List!$I$10,C57=List!$I$16,C57=List!$I$17,C57=List!$I$18,B57="Saturday",B57="Sunday"),
IF($D$2="","",
IF(AND(J57="",D57&gt;0,E57&gt;0),"",
IF(AND(D58&gt;0,E58&gt;0,J58=""),"",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IF(AND(Sheet2!E50&gt;0,Sheet2!E50&lt;=4),4,
IF(AND(Sheet2!E50&gt;4,Sheet2!E50&lt;=8),8,
IF(AND(Sheet2!E50&gt;8,Sheet2!E50&lt;=12),12,
IF(AND(Sheet2!E50&gt;12,Sheet2!E50&lt;=16),16,
IF(AND(Sheet2!E50&gt;16,Sheet2!E50&lt;=20),20,
IF(AND(Sheet2!E50&gt;20,Sheet2!E50&lt;=24),24,"")))))),
IF($D$2="CIFOR",
IF(AND(Sheet2!E50&gt;0,Sheet2!E50&lt;=9),9,
IF(AND(Sheet2!E50&gt;9,Sheet2!E50&lt;=18),18,
IF(AND(Sheet2!E50&gt;18,Sheet2!E50&lt;=24),24,""))),
IF(OR($D$2="Indika"),
IF(AND(Sheet2!E50&gt;0,Sheet2!E50&lt;=24),24,""),
IF(OR($D$2="BCA",$D$2="Bank Permata",$D$2="Sapta sarana Sejahtera (Exim Bank)",$D$2="AIA",$D$2="FIF"),
IF(AND(Sheet2!E50&gt;0,Sheet2!E50&lt;=8),8,
IF(AND(Sheet2!E50&gt;8,Sheet2!E50&lt;=16),16,
IF(AND(Sheet2!E50&gt;16,Sheet2!E50&lt;=24),24,""))),
IF(AND(Sheet2!E50&gt;0,Sheet2!E50&lt;=1),1,
IF(AND(Sheet2!E50&gt;1,Sheet2!E50&lt;=2),2,
IF(AND(Sheet2!E50&gt;2,Sheet2!E50&lt;=3),3,
IF(AND(Sheet2!E50&gt;3,Sheet2!E50&lt;=4),4,
IF(AND(Sheet2!E50&gt;4,Sheet2!E50&lt;=5),5,
IF(AND(Sheet2!E50&gt;5,Sheet2!E50&lt;=6),6,
IF(AND(Sheet2!E50&gt;6,Sheet2!E50&lt;=7),7,
IF(AND(Sheet2!E50&gt;7,Sheet2!E50&lt;=8),8,
IF(AND(Sheet2!E50&gt;8,Sheet2!E50&lt;=9),9,
IF(AND(Sheet2!E50&gt;9,Sheet2!E50&lt;=10),10,
IF(AND(Sheet2!E50&gt;10,Sheet2!E50&lt;=11),11,
IF(AND(Sheet2!E50&gt;11,Sheet2!E50&lt;=12),12,
IF(AND(Sheet2!E50&gt;12,Sheet2!E50&lt;=13),13,
IF(AND(Sheet2!E50&gt;13,Sheet2!E50&lt;=14),14,
IF(AND(Sheet2!E50&gt;14,Sheet2!E50&lt;=15),15,
IF(AND(Sheet2!E50&gt;15,Sheet2!E50&lt;=16),16,
IF(AND(Sheet2!E50&gt;16,Sheet2!E50&lt;=17),17,
IF(AND(Sheet2!E50&gt;17,Sheet2!E50&lt;=18),18,
IF(AND(Sheet2!E50&gt;18,Sheet2!E50&lt;=19),19,
IF(AND(Sheet2!E50&gt;19,Sheet2!E50&lt;=20),20,
IF(AND(Sheet2!E50&gt;20,Sheet2!E50&lt;=21),21,
IF(AND(Sheet2!E50&gt;21,Sheet2!E50&lt;=22),22,
IF(AND(Sheet2!E50&gt;22,Sheet2!E50&lt;=23),23,
IF(AND(Sheet2!E50&gt;23,Sheet2!E50&lt;=24),24,""))))))))))))))))))))))))))))))),
IF(OR(AND(B57="Monday"),
AND(B57="Tuesday"),
AND(B57="Wednesday"),
AND(B57="Thursday"),
AND(B57="Friday")),
IF(SUM(IF(OR(J57="",J57="Leave",J57="sick"),0,IF(MINUTE(E57-D57)&gt;29,HOUR(E57-D57)+1,HOUR(E57-D57))),IF(AND(D58&gt;0,D58&lt;=E57),0,IF(OR(D58=0,J58="",J58="Leave",J58="sick"),0,IF(MINUTE(E58-D58)&gt;29,HOUR(E58-D58)+1,HOUR(E58-D58)))))&gt;4,
SUM(IF(OR(J57="",J57="Leave",J57="sick"),0,IF(MINUTE(E57-D57)&gt;29,HOUR(E57-D57)+1,HOUR(E57-D57))),IF(AND(D58&gt;0,D58&lt;=E57),0,IF(OR(D58=0,J58="",J58="Leave",J58="sick"),0,IF(MINUTE(E58-D58)&gt;29,HOUR(E58-D58)+1,HOUR(E58-D58)))))-1,
SUM(IF(OR(J57="",J57="Leave",J57="sick"),0,IF(MINUTE(E57-D57)&gt;29,HOUR(E57-D57)+1,HOUR(E57-D57))),IF(AND(D58&gt;0,D58&lt;=E57),0,IF(OR(D58=0,J58="",J58="Leave",J58="sick"),0,IF(MINUTE(E58-D58)&gt;29,HOUR(E58-D58)+1,HOUR(E58-D58)))))),""))),"")</f>
        <v>0</v>
      </c>
      <c r="G57" s="143" t="s">
        <v>206</v>
      </c>
      <c r="H57" s="140">
        <f t="shared" ref="H57" si="65">IFERROR(IF(SUM(IF(D57=0,0,IF(J57="Sick",IF(MINUTE(E57-D57)&gt;29,HOUR(E57-D57)+1,HOUR(E57-D57)),0)),IF(AND(D58&gt;0,D58&lt;=E57),0,IF(OR(E57=0,D58=0),0,IF(J58="Sick",IF(MINUTE(E58-D58)&gt;29,HOUR(E58-D58)+1,HOUR(E58-D58)),0))))=0,0,IF(SUM(IF(J57="Sick",IF(MINUTE(E57-D57)&gt;29,HOUR(E57-D57)+1,HOUR(E57-D57)),0),IF(J58="Sick",IF(MINUTE(E58-D58)&gt;29,HOUR(E58-D58)+1,HOUR(E58-D58)),0))&lt;=6,4,8)),"")</f>
        <v>0</v>
      </c>
      <c r="I57" s="129">
        <f t="shared" ref="I57" si="66">IFERROR(IF(SUM(IF(D57=0,0,IF(J57="Leave",IF(MINUTE(E57-D57)&gt;29,HOUR(E57-D57)+1,HOUR(E57-D57)),0)),IF(AND(D58&gt;0,D58&lt;=E57),0,IF(OR(E57=0,D58=0),0,IF(J58="leave",IF(MINUTE(E58-D58)&gt;29,HOUR(E58-D58)+1,HOUR(E58-D58)),0))))=0,0,IF(SUM(IF(J57="Leave",IF(MINUTE(E57-D57)&gt;29,HOUR(E57-D57)+1,HOUR(E57-D57)),0),IF(J58="leave",IF(MINUTE(E58-D58)&gt;29,HOUR(E58-D58)+1,HOUR(E58-D58)),0))&lt;=6,4,8)),"")</f>
        <v>0</v>
      </c>
      <c r="J57" s="123"/>
      <c r="K57" s="124"/>
      <c r="L57" s="124"/>
      <c r="M57" s="125"/>
      <c r="N57" s="158"/>
      <c r="O57" s="157"/>
      <c r="P57" s="157"/>
      <c r="Q57" s="157"/>
      <c r="R57" s="157"/>
      <c r="U57" s="115"/>
    </row>
    <row r="58" spans="2:21" s="66" customFormat="1" ht="18" customHeight="1" x14ac:dyDescent="0.45">
      <c r="B58" s="152"/>
      <c r="C58" s="135"/>
      <c r="D58" s="117"/>
      <c r="E58" s="117"/>
      <c r="F58" s="130"/>
      <c r="G58" s="144"/>
      <c r="H58" s="140"/>
      <c r="I58" s="130"/>
      <c r="J58" s="123"/>
      <c r="K58" s="124"/>
      <c r="L58" s="124"/>
      <c r="M58" s="125"/>
      <c r="N58" s="157"/>
      <c r="O58" s="157"/>
      <c r="P58" s="157"/>
      <c r="Q58" s="157"/>
      <c r="R58" s="157"/>
      <c r="U58" s="115"/>
    </row>
    <row r="59" spans="2:21" s="66" customFormat="1" ht="18" customHeight="1" x14ac:dyDescent="0.45">
      <c r="B59" s="154" t="str">
        <f t="shared" si="2"/>
        <v>Monday</v>
      </c>
      <c r="C59" s="136">
        <f t="shared" ref="C59" si="67">C57+1</f>
        <v>44767</v>
      </c>
      <c r="D59" s="39"/>
      <c r="E59" s="39"/>
      <c r="F59" s="131">
        <f>IFERROR(IF(D59=0,0,IF(OR(C59=List!$I$4,C59=List!$I$5,C59=List!$I$11,C59=List!$I$6,C59=List!$I$12,C59=List!$I$7,C59=List!$I$13,C59=List!$I$8,C59=List!$I$14,C59=List!$I$9,C59=List!$I$15,C59=List!$I$10,C59=List!$I$16,C59=List!$I$17,C59=List!$I$18,B59="Saturday",B59="Sunday"),
IF($D$2="","",
IF(AND(J59="",D59&gt;0,E59&gt;0),"",
IF(AND(D60&gt;0,E60&gt;0,J60=""),"",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IF(AND(Sheet2!E52&gt;0,Sheet2!E52&lt;=4),4,
IF(AND(Sheet2!E52&gt;4,Sheet2!E52&lt;=8),8,
IF(AND(Sheet2!E52&gt;8,Sheet2!E52&lt;=12),12,
IF(AND(Sheet2!E52&gt;12,Sheet2!E52&lt;=16),16,
IF(AND(Sheet2!E52&gt;16,Sheet2!E52&lt;=20),20,
IF(AND(Sheet2!E52&gt;20,Sheet2!E52&lt;=24),24,"")))))),
IF($D$2="CIFOR",
IF(AND(Sheet2!E52&gt;0,Sheet2!E52&lt;=9),9,
IF(AND(Sheet2!E52&gt;9,Sheet2!E52&lt;=18),18,
IF(AND(Sheet2!E52&gt;18,Sheet2!E52&lt;=24),24,""))),
IF(OR($D$2="Indika"),
IF(AND(Sheet2!E52&gt;0,Sheet2!E52&lt;=24),24,""),
IF(OR($D$2="BCA",$D$2="Bank Permata",$D$2="Sapta sarana Sejahtera (Exim Bank)",$D$2="AIA",$D$2="FIF"),
IF(AND(Sheet2!E52&gt;0,Sheet2!E52&lt;=8),8,
IF(AND(Sheet2!E52&gt;8,Sheet2!E52&lt;=16),16,
IF(AND(Sheet2!E52&gt;16,Sheet2!E52&lt;=24),24,""))),
IF(AND(Sheet2!E52&gt;0,Sheet2!E52&lt;=1),1,
IF(AND(Sheet2!E52&gt;1,Sheet2!E52&lt;=2),2,
IF(AND(Sheet2!E52&gt;2,Sheet2!E52&lt;=3),3,
IF(AND(Sheet2!E52&gt;3,Sheet2!E52&lt;=4),4,
IF(AND(Sheet2!E52&gt;4,Sheet2!E52&lt;=5),5,
IF(AND(Sheet2!E52&gt;5,Sheet2!E52&lt;=6),6,
IF(AND(Sheet2!E52&gt;6,Sheet2!E52&lt;=7),7,
IF(AND(Sheet2!E52&gt;7,Sheet2!E52&lt;=8),8,
IF(AND(Sheet2!E52&gt;8,Sheet2!E52&lt;=9),9,
IF(AND(Sheet2!E52&gt;9,Sheet2!E52&lt;=10),10,
IF(AND(Sheet2!E52&gt;10,Sheet2!E52&lt;=11),11,
IF(AND(Sheet2!E52&gt;11,Sheet2!E52&lt;=12),12,
IF(AND(Sheet2!E52&gt;12,Sheet2!E52&lt;=13),13,
IF(AND(Sheet2!E52&gt;13,Sheet2!E52&lt;=14),14,
IF(AND(Sheet2!E52&gt;14,Sheet2!E52&lt;=15),15,
IF(AND(Sheet2!E52&gt;15,Sheet2!E52&lt;=16),16,
IF(AND(Sheet2!E52&gt;16,Sheet2!E52&lt;=17),17,
IF(AND(Sheet2!E52&gt;17,Sheet2!E52&lt;=18),18,
IF(AND(Sheet2!E52&gt;18,Sheet2!E52&lt;=19),19,
IF(AND(Sheet2!E52&gt;19,Sheet2!E52&lt;=20),20,
IF(AND(Sheet2!E52&gt;20,Sheet2!E52&lt;=21),21,
IF(AND(Sheet2!E52&gt;21,Sheet2!E52&lt;=22),22,
IF(AND(Sheet2!E52&gt;22,Sheet2!E52&lt;=23),23,
IF(AND(Sheet2!E52&gt;23,Sheet2!E52&lt;=24),24,""))))))))))))))))))))))))))))))),
IF(OR(AND(B59="Monday"),
AND(B59="Tuesday"),
AND(B59="Wednesday"),
AND(B59="Thursday"),
AND(B59="Friday")),
IF(SUM(IF(OR(J59="",J59="Leave",J59="sick"),0,IF(MINUTE(E59-D59)&gt;29,HOUR(E59-D59)+1,HOUR(E59-D59))),IF(AND(D60&gt;0,D60&lt;=E59),0,IF(OR(D60=0,J60="",J60="Leave",J60="sick"),0,IF(MINUTE(E60-D60)&gt;29,HOUR(E60-D60)+1,HOUR(E60-D60)))))&gt;4,
SUM(IF(OR(J59="",J59="Leave",J59="sick"),0,IF(MINUTE(E59-D59)&gt;29,HOUR(E59-D59)+1,HOUR(E59-D59))),IF(AND(D60&gt;0,D60&lt;=E59),0,IF(OR(D60=0,J60="",J60="Leave",J60="sick"),0,IF(MINUTE(E60-D60)&gt;29,HOUR(E60-D60)+1,HOUR(E60-D60)))))-1,
SUM(IF(OR(J59="",J59="Leave",J59="sick"),0,IF(MINUTE(E59-D59)&gt;29,HOUR(E59-D59)+1,HOUR(E59-D59))),IF(AND(D60&gt;0,D60&lt;=E59),0,IF(OR(D60=0,J60="",J60="Leave",J60="sick"),0,IF(MINUTE(E60-D60)&gt;29,HOUR(E60-D60)+1,HOUR(E60-D60)))))),""))),"")</f>
        <v>0</v>
      </c>
      <c r="G59" s="137" t="s">
        <v>206</v>
      </c>
      <c r="H59" s="139">
        <f t="shared" ref="H59" si="68">IFERROR(IF(SUM(IF(D59=0,0,IF(J59="Sick",IF(MINUTE(E59-D59)&gt;29,HOUR(E59-D59)+1,HOUR(E59-D59)),0)),IF(AND(D60&gt;0,D60&lt;=E59),0,IF(OR(E59=0,D60=0),0,IF(J60="Sick",IF(MINUTE(E60-D60)&gt;29,HOUR(E60-D60)+1,HOUR(E60-D60)),0))))=0,0,IF(SUM(IF(J59="Sick",IF(MINUTE(E59-D59)&gt;29,HOUR(E59-D59)+1,HOUR(E59-D59)),0),IF(J60="Sick",IF(MINUTE(E60-D60)&gt;29,HOUR(E60-D60)+1,HOUR(E60-D60)),0))&lt;=6,4,8)),"")</f>
        <v>0</v>
      </c>
      <c r="I59" s="131">
        <f t="shared" ref="I59" si="69">IFERROR(IF(SUM(IF(D59=0,0,IF(J59="Leave",IF(MINUTE(E59-D59)&gt;29,HOUR(E59-D59)+1,HOUR(E59-D59)),0)),IF(AND(D60&gt;0,D60&lt;=E59),0,IF(OR(E59=0,D60=0),0,IF(J60="leave",IF(MINUTE(E60-D60)&gt;29,HOUR(E60-D60)+1,HOUR(E60-D60)),0))))=0,0,IF(SUM(IF(J59="Leave",IF(MINUTE(E59-D59)&gt;29,HOUR(E59-D59)+1,HOUR(E59-D59)),0),IF(J60="leave",IF(MINUTE(E60-D60)&gt;29,HOUR(E60-D60)+1,HOUR(E60-D60)),0))&lt;=6,4,8)),"")</f>
        <v>0</v>
      </c>
      <c r="J59" s="126"/>
      <c r="K59" s="127"/>
      <c r="L59" s="127"/>
      <c r="M59" s="128"/>
      <c r="N59" s="156"/>
      <c r="O59" s="153"/>
      <c r="P59" s="153"/>
      <c r="Q59" s="153"/>
      <c r="R59" s="153"/>
      <c r="U59" s="115"/>
    </row>
    <row r="60" spans="2:21" s="66" customFormat="1" ht="18" customHeight="1" x14ac:dyDescent="0.45">
      <c r="B60" s="155"/>
      <c r="C60" s="136"/>
      <c r="D60" s="39"/>
      <c r="E60" s="39"/>
      <c r="F60" s="132"/>
      <c r="G60" s="138"/>
      <c r="H60" s="139"/>
      <c r="I60" s="132"/>
      <c r="J60" s="126"/>
      <c r="K60" s="127"/>
      <c r="L60" s="127"/>
      <c r="M60" s="128"/>
      <c r="N60" s="156"/>
      <c r="O60" s="153"/>
      <c r="P60" s="153"/>
      <c r="Q60" s="153"/>
      <c r="R60" s="153"/>
      <c r="U60" s="115"/>
    </row>
    <row r="61" spans="2:21" s="66" customFormat="1" ht="18" customHeight="1" x14ac:dyDescent="0.45">
      <c r="B61" s="154" t="str">
        <f t="shared" si="2"/>
        <v>Tuesday</v>
      </c>
      <c r="C61" s="136">
        <f t="shared" ref="C61" si="70">C59+1</f>
        <v>44768</v>
      </c>
      <c r="D61" s="39"/>
      <c r="E61" s="39"/>
      <c r="F61" s="131">
        <f>IFERROR(IF(D61=0,0,IF(OR(C61=List!$I$4,C61=List!$I$5,C61=List!$I$11,C61=List!$I$6,C61=List!$I$12,C61=List!$I$7,C61=List!$I$13,C61=List!$I$8,C61=List!$I$14,C61=List!$I$9,C61=List!$I$15,C61=List!$I$10,C61=List!$I$16,C61=List!$I$17,C61=List!$I$18,B61="Saturday",B61="Sunday"),
IF($D$2="","",
IF(AND(J61="",D61&gt;0,E61&gt;0),"",
IF(AND(D62&gt;0,E62&gt;0,J62=""),"",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IF(AND(Sheet2!E54&gt;0,Sheet2!E54&lt;=4),4,
IF(AND(Sheet2!E54&gt;4,Sheet2!E54&lt;=8),8,
IF(AND(Sheet2!E54&gt;8,Sheet2!E54&lt;=12),12,
IF(AND(Sheet2!E54&gt;12,Sheet2!E54&lt;=16),16,
IF(AND(Sheet2!E54&gt;16,Sheet2!E54&lt;=20),20,
IF(AND(Sheet2!E54&gt;20,Sheet2!E54&lt;=24),24,"")))))),
IF($D$2="CIFOR",
IF(AND(Sheet2!E54&gt;0,Sheet2!E54&lt;=9),9,
IF(AND(Sheet2!E54&gt;9,Sheet2!E54&lt;=18),18,
IF(AND(Sheet2!E54&gt;18,Sheet2!E54&lt;=24),24,""))),
IF(OR($D$2="Indika"),
IF(AND(Sheet2!E54&gt;0,Sheet2!E54&lt;=24),24,""),
IF(OR($D$2="BCA",$D$2="Bank Permata",$D$2="Sapta sarana Sejahtera (Exim Bank)",$D$2="AIA",$D$2="FIF"),
IF(AND(Sheet2!E54&gt;0,Sheet2!E54&lt;=8),8,
IF(AND(Sheet2!E54&gt;8,Sheet2!E54&lt;=16),16,
IF(AND(Sheet2!E54&gt;16,Sheet2!E54&lt;=24),24,""))),
IF(AND(Sheet2!E54&gt;0,Sheet2!E54&lt;=1),1,
IF(AND(Sheet2!E54&gt;1,Sheet2!E54&lt;=2),2,
IF(AND(Sheet2!E54&gt;2,Sheet2!E54&lt;=3),3,
IF(AND(Sheet2!E54&gt;3,Sheet2!E54&lt;=4),4,
IF(AND(Sheet2!E54&gt;4,Sheet2!E54&lt;=5),5,
IF(AND(Sheet2!E54&gt;5,Sheet2!E54&lt;=6),6,
IF(AND(Sheet2!E54&gt;6,Sheet2!E54&lt;=7),7,
IF(AND(Sheet2!E54&gt;7,Sheet2!E54&lt;=8),8,
IF(AND(Sheet2!E54&gt;8,Sheet2!E54&lt;=9),9,
IF(AND(Sheet2!E54&gt;9,Sheet2!E54&lt;=10),10,
IF(AND(Sheet2!E54&gt;10,Sheet2!E54&lt;=11),11,
IF(AND(Sheet2!E54&gt;11,Sheet2!E54&lt;=12),12,
IF(AND(Sheet2!E54&gt;12,Sheet2!E54&lt;=13),13,
IF(AND(Sheet2!E54&gt;13,Sheet2!E54&lt;=14),14,
IF(AND(Sheet2!E54&gt;14,Sheet2!E54&lt;=15),15,
IF(AND(Sheet2!E54&gt;15,Sheet2!E54&lt;=16),16,
IF(AND(Sheet2!E54&gt;16,Sheet2!E54&lt;=17),17,
IF(AND(Sheet2!E54&gt;17,Sheet2!E54&lt;=18),18,
IF(AND(Sheet2!E54&gt;18,Sheet2!E54&lt;=19),19,
IF(AND(Sheet2!E54&gt;19,Sheet2!E54&lt;=20),20,
IF(AND(Sheet2!E54&gt;20,Sheet2!E54&lt;=21),21,
IF(AND(Sheet2!E54&gt;21,Sheet2!E54&lt;=22),22,
IF(AND(Sheet2!E54&gt;22,Sheet2!E54&lt;=23),23,
IF(AND(Sheet2!E54&gt;23,Sheet2!E54&lt;=24),24,""))))))))))))))))))))))))))))))),
IF(OR(AND(B61="Monday"),
AND(B61="Tuesday"),
AND(B61="Wednesday"),
AND(B61="Thursday"),
AND(B61="Friday")),
IF(SUM(IF(OR(J61="",J61="Leave",J61="sick"),0,IF(MINUTE(E61-D61)&gt;29,HOUR(E61-D61)+1,HOUR(E61-D61))),IF(AND(D62&gt;0,D62&lt;=E61),0,IF(OR(D62=0,J62="",J62="Leave",J62="sick"),0,IF(MINUTE(E62-D62)&gt;29,HOUR(E62-D62)+1,HOUR(E62-D62)))))&gt;4,
SUM(IF(OR(J61="",J61="Leave",J61="sick"),0,IF(MINUTE(E61-D61)&gt;29,HOUR(E61-D61)+1,HOUR(E61-D61))),IF(AND(D62&gt;0,D62&lt;=E61),0,IF(OR(D62=0,J62="",J62="Leave",J62="sick"),0,IF(MINUTE(E62-D62)&gt;29,HOUR(E62-D62)+1,HOUR(E62-D62)))))-1,
SUM(IF(OR(J61="",J61="Leave",J61="sick"),0,IF(MINUTE(E61-D61)&gt;29,HOUR(E61-D61)+1,HOUR(E61-D61))),IF(AND(D62&gt;0,D62&lt;=E61),0,IF(OR(D62=0,J62="",J62="Leave",J62="sick"),0,IF(MINUTE(E62-D62)&gt;29,HOUR(E62-D62)+1,HOUR(E62-D62)))))),""))),"")</f>
        <v>0</v>
      </c>
      <c r="G61" s="137" t="s">
        <v>206</v>
      </c>
      <c r="H61" s="139">
        <f t="shared" ref="H61" si="71">IFERROR(IF(SUM(IF(D61=0,0,IF(J61="Sick",IF(MINUTE(E61-D61)&gt;29,HOUR(E61-D61)+1,HOUR(E61-D61)),0)),IF(AND(D62&gt;0,D62&lt;=E61),0,IF(OR(E61=0,D62=0),0,IF(J62="Sick",IF(MINUTE(E62-D62)&gt;29,HOUR(E62-D62)+1,HOUR(E62-D62)),0))))=0,0,IF(SUM(IF(J61="Sick",IF(MINUTE(E61-D61)&gt;29,HOUR(E61-D61)+1,HOUR(E61-D61)),0),IF(J62="Sick",IF(MINUTE(E62-D62)&gt;29,HOUR(E62-D62)+1,HOUR(E62-D62)),0))&lt;=6,4,8)),"")</f>
        <v>0</v>
      </c>
      <c r="I61" s="131">
        <f t="shared" ref="I61" si="72">IFERROR(IF(SUM(IF(D61=0,0,IF(J61="Leave",IF(MINUTE(E61-D61)&gt;29,HOUR(E61-D61)+1,HOUR(E61-D61)),0)),IF(AND(D62&gt;0,D62&lt;=E61),0,IF(OR(E61=0,D62=0),0,IF(J62="leave",IF(MINUTE(E62-D62)&gt;29,HOUR(E62-D62)+1,HOUR(E62-D62)),0))))=0,0,IF(SUM(IF(J61="Leave",IF(MINUTE(E61-D61)&gt;29,HOUR(E61-D61)+1,HOUR(E61-D61)),0),IF(J62="leave",IF(MINUTE(E62-D62)&gt;29,HOUR(E62-D62)+1,HOUR(E62-D62)),0))&lt;=6,4,8)),"")</f>
        <v>0</v>
      </c>
      <c r="J61" s="126"/>
      <c r="K61" s="127"/>
      <c r="L61" s="127"/>
      <c r="M61" s="128"/>
      <c r="N61" s="156"/>
      <c r="O61" s="153"/>
      <c r="P61" s="153"/>
      <c r="Q61" s="153"/>
      <c r="R61" s="153"/>
      <c r="U61" s="115"/>
    </row>
    <row r="62" spans="2:21" s="66" customFormat="1" ht="18" customHeight="1" x14ac:dyDescent="0.45">
      <c r="B62" s="155"/>
      <c r="C62" s="136"/>
      <c r="D62" s="39"/>
      <c r="E62" s="39"/>
      <c r="F62" s="132"/>
      <c r="G62" s="138"/>
      <c r="H62" s="139"/>
      <c r="I62" s="132"/>
      <c r="J62" s="126"/>
      <c r="K62" s="127"/>
      <c r="L62" s="127"/>
      <c r="M62" s="128"/>
      <c r="N62" s="156"/>
      <c r="O62" s="153"/>
      <c r="P62" s="153"/>
      <c r="Q62" s="153"/>
      <c r="R62" s="153"/>
      <c r="U62" s="115"/>
    </row>
    <row r="63" spans="2:21" s="66" customFormat="1" ht="18" customHeight="1" x14ac:dyDescent="0.45">
      <c r="B63" s="154" t="str">
        <f t="shared" si="2"/>
        <v>Wednesday</v>
      </c>
      <c r="C63" s="136">
        <f t="shared" ref="C63" si="73">C61+1</f>
        <v>44769</v>
      </c>
      <c r="D63" s="39"/>
      <c r="E63" s="39"/>
      <c r="F63" s="131">
        <f>IFERROR(IF(D63=0,0,IF(OR(C63=List!$I$4,C63=List!$I$5,C63=List!$I$11,C63=List!$I$6,C63=List!$I$12,C63=List!$I$7,C63=List!$I$13,C63=List!$I$8,C63=List!$I$14,C63=List!$I$9,C63=List!$I$15,C63=List!$I$10,C63=List!$I$16,C63=List!$I$17,C63=List!$I$18,B63="Saturday",B63="Sunday"),
IF($D$2="","",
IF(AND(J63="",D63&gt;0,E63&gt;0),"",
IF(AND(D64&gt;0,E64&gt;0,J64=""),"",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IF(AND(Sheet2!E56&gt;0,Sheet2!E56&lt;=4),4,
IF(AND(Sheet2!E56&gt;4,Sheet2!E56&lt;=8),8,
IF(AND(Sheet2!E56&gt;8,Sheet2!E56&lt;=12),12,
IF(AND(Sheet2!E56&gt;12,Sheet2!E56&lt;=16),16,
IF(AND(Sheet2!E56&gt;16,Sheet2!E56&lt;=20),20,
IF(AND(Sheet2!E56&gt;20,Sheet2!E56&lt;=24),24,"")))))),
IF($D$2="CIFOR",
IF(AND(Sheet2!E56&gt;0,Sheet2!E56&lt;=9),9,
IF(AND(Sheet2!E56&gt;9,Sheet2!E56&lt;=18),18,
IF(AND(Sheet2!E56&gt;18,Sheet2!E56&lt;=24),24,""))),
IF(OR($D$2="Indika"),
IF(AND(Sheet2!E56&gt;0,Sheet2!E56&lt;=24),24,""),
IF(OR($D$2="BCA",$D$2="Bank Permata",$D$2="Sapta sarana Sejahtera (Exim Bank)",$D$2="AIA",$D$2="FIF"),
IF(AND(Sheet2!E56&gt;0,Sheet2!E56&lt;=8),8,
IF(AND(Sheet2!E56&gt;8,Sheet2!E56&lt;=16),16,
IF(AND(Sheet2!E56&gt;16,Sheet2!E56&lt;=24),24,""))),
IF(AND(Sheet2!E56&gt;0,Sheet2!E56&lt;=1),1,
IF(AND(Sheet2!E56&gt;1,Sheet2!E56&lt;=2),2,
IF(AND(Sheet2!E56&gt;2,Sheet2!E56&lt;=3),3,
IF(AND(Sheet2!E56&gt;3,Sheet2!E56&lt;=4),4,
IF(AND(Sheet2!E56&gt;4,Sheet2!E56&lt;=5),5,
IF(AND(Sheet2!E56&gt;5,Sheet2!E56&lt;=6),6,
IF(AND(Sheet2!E56&gt;6,Sheet2!E56&lt;=7),7,
IF(AND(Sheet2!E56&gt;7,Sheet2!E56&lt;=8),8,
IF(AND(Sheet2!E56&gt;8,Sheet2!E56&lt;=9),9,
IF(AND(Sheet2!E56&gt;9,Sheet2!E56&lt;=10),10,
IF(AND(Sheet2!E56&gt;10,Sheet2!E56&lt;=11),11,
IF(AND(Sheet2!E56&gt;11,Sheet2!E56&lt;=12),12,
IF(AND(Sheet2!E56&gt;12,Sheet2!E56&lt;=13),13,
IF(AND(Sheet2!E56&gt;13,Sheet2!E56&lt;=14),14,
IF(AND(Sheet2!E56&gt;14,Sheet2!E56&lt;=15),15,
IF(AND(Sheet2!E56&gt;15,Sheet2!E56&lt;=16),16,
IF(AND(Sheet2!E56&gt;16,Sheet2!E56&lt;=17),17,
IF(AND(Sheet2!E56&gt;17,Sheet2!E56&lt;=18),18,
IF(AND(Sheet2!E56&gt;18,Sheet2!E56&lt;=19),19,
IF(AND(Sheet2!E56&gt;19,Sheet2!E56&lt;=20),20,
IF(AND(Sheet2!E56&gt;20,Sheet2!E56&lt;=21),21,
IF(AND(Sheet2!E56&gt;21,Sheet2!E56&lt;=22),22,
IF(AND(Sheet2!E56&gt;22,Sheet2!E56&lt;=23),23,
IF(AND(Sheet2!E56&gt;23,Sheet2!E56&lt;=24),24,""))))))))))))))))))))))))))))))),
IF(OR(AND(B63="Monday"),
AND(B63="Tuesday"),
AND(B63="Wednesday"),
AND(B63="Thursday"),
AND(B63="Friday")),
IF(SUM(IF(OR(J63="",J63="Leave",J63="sick"),0,IF(MINUTE(E63-D63)&gt;29,HOUR(E63-D63)+1,HOUR(E63-D63))),IF(AND(D64&gt;0,D64&lt;=E63),0,IF(OR(D64=0,J64="",J64="Leave",J64="sick"),0,IF(MINUTE(E64-D64)&gt;29,HOUR(E64-D64)+1,HOUR(E64-D64)))))&gt;4,
SUM(IF(OR(J63="",J63="Leave",J63="sick"),0,IF(MINUTE(E63-D63)&gt;29,HOUR(E63-D63)+1,HOUR(E63-D63))),IF(AND(D64&gt;0,D64&lt;=E63),0,IF(OR(D64=0,J64="",J64="Leave",J64="sick"),0,IF(MINUTE(E64-D64)&gt;29,HOUR(E64-D64)+1,HOUR(E64-D64)))))-1,
SUM(IF(OR(J63="",J63="Leave",J63="sick"),0,IF(MINUTE(E63-D63)&gt;29,HOUR(E63-D63)+1,HOUR(E63-D63))),IF(AND(D64&gt;0,D64&lt;=E63),0,IF(OR(D64=0,J64="",J64="Leave",J64="sick"),0,IF(MINUTE(E64-D64)&gt;29,HOUR(E64-D64)+1,HOUR(E64-D64)))))),""))),"")</f>
        <v>0</v>
      </c>
      <c r="G63" s="137" t="s">
        <v>206</v>
      </c>
      <c r="H63" s="139">
        <f t="shared" ref="H63" si="74">IFERROR(IF(SUM(IF(D63=0,0,IF(J63="Sick",IF(MINUTE(E63-D63)&gt;29,HOUR(E63-D63)+1,HOUR(E63-D63)),0)),IF(AND(D64&gt;0,D64&lt;=E63),0,IF(OR(E63=0,D64=0),0,IF(J64="Sick",IF(MINUTE(E64-D64)&gt;29,HOUR(E64-D64)+1,HOUR(E64-D64)),0))))=0,0,IF(SUM(IF(J63="Sick",IF(MINUTE(E63-D63)&gt;29,HOUR(E63-D63)+1,HOUR(E63-D63)),0),IF(J64="Sick",IF(MINUTE(E64-D64)&gt;29,HOUR(E64-D64)+1,HOUR(E64-D64)),0))&lt;=6,4,8)),"")</f>
        <v>0</v>
      </c>
      <c r="I63" s="131">
        <f t="shared" ref="I63" si="75">IFERROR(IF(SUM(IF(D63=0,0,IF(J63="Leave",IF(MINUTE(E63-D63)&gt;29,HOUR(E63-D63)+1,HOUR(E63-D63)),0)),IF(AND(D64&gt;0,D64&lt;=E63),0,IF(OR(E63=0,D64=0),0,IF(J64="leave",IF(MINUTE(E64-D64)&gt;29,HOUR(E64-D64)+1,HOUR(E64-D64)),0))))=0,0,IF(SUM(IF(J63="Leave",IF(MINUTE(E63-D63)&gt;29,HOUR(E63-D63)+1,HOUR(E63-D63)),0),IF(J64="leave",IF(MINUTE(E64-D64)&gt;29,HOUR(E64-D64)+1,HOUR(E64-D64)),0))&lt;=6,4,8)),"")</f>
        <v>0</v>
      </c>
      <c r="J63" s="126"/>
      <c r="K63" s="127"/>
      <c r="L63" s="127"/>
      <c r="M63" s="128"/>
      <c r="N63" s="156"/>
      <c r="O63" s="153"/>
      <c r="P63" s="153"/>
      <c r="Q63" s="153"/>
      <c r="R63" s="153"/>
      <c r="U63" s="115"/>
    </row>
    <row r="64" spans="2:21" s="66" customFormat="1" ht="18" customHeight="1" x14ac:dyDescent="0.45">
      <c r="B64" s="155"/>
      <c r="C64" s="136"/>
      <c r="D64" s="39"/>
      <c r="E64" s="39"/>
      <c r="F64" s="132"/>
      <c r="G64" s="138"/>
      <c r="H64" s="139"/>
      <c r="I64" s="132"/>
      <c r="J64" s="126"/>
      <c r="K64" s="127"/>
      <c r="L64" s="127"/>
      <c r="M64" s="128"/>
      <c r="N64" s="153"/>
      <c r="O64" s="153"/>
      <c r="P64" s="153"/>
      <c r="Q64" s="153"/>
      <c r="R64" s="153"/>
      <c r="U64" s="115"/>
    </row>
    <row r="65" spans="2:23" s="66" customFormat="1" ht="18" customHeight="1" x14ac:dyDescent="0.45">
      <c r="B65" s="154" t="str">
        <f t="shared" si="2"/>
        <v>Thursday</v>
      </c>
      <c r="C65" s="136">
        <f t="shared" ref="C65" si="76">C63+1</f>
        <v>44770</v>
      </c>
      <c r="D65" s="39"/>
      <c r="E65" s="39"/>
      <c r="F65" s="131">
        <f>IFERROR(IF(D65=0,0,IF(OR(C65=List!$I$4,C65=List!$I$5,C65=List!$I$11,C65=List!$I$6,C65=List!$I$12,C65=List!$I$7,C65=List!$I$13,C65=List!$I$8,C65=List!$I$14,C65=List!$I$9,C65=List!$I$15,C65=List!$I$10,C65=List!$I$16,C65=List!$I$17,C65=List!$I$18,B65="Saturday",B65="Sunday"),
IF($D$2="","",
IF(AND(J65="",D65&gt;0,E65&gt;0),"",
IF(AND(D66&gt;0,E66&gt;0,J66=""),"",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IF(AND(Sheet2!E58&gt;0,Sheet2!E58&lt;=4),4,
IF(AND(Sheet2!E58&gt;4,Sheet2!E58&lt;=8),8,
IF(AND(Sheet2!E58&gt;8,Sheet2!E58&lt;=12),12,
IF(AND(Sheet2!E58&gt;12,Sheet2!E58&lt;=16),16,
IF(AND(Sheet2!E58&gt;16,Sheet2!E58&lt;=20),20,
IF(AND(Sheet2!E58&gt;20,Sheet2!E58&lt;=24),24,"")))))),
IF($D$2="CIFOR",
IF(AND(Sheet2!E58&gt;0,Sheet2!E58&lt;=9),9,
IF(AND(Sheet2!E58&gt;9,Sheet2!E58&lt;=18),18,
IF(AND(Sheet2!E58&gt;18,Sheet2!E58&lt;=24),24,""))),
IF(OR($D$2="Indika"),
IF(AND(Sheet2!E58&gt;0,Sheet2!E58&lt;=24),24,""),
IF(OR($D$2="BCA",$D$2="Bank Permata",$D$2="Sapta sarana Sejahtera (Exim Bank)",$D$2="AIA",$D$2="FIF"),
IF(AND(Sheet2!E58&gt;0,Sheet2!E58&lt;=8),8,
IF(AND(Sheet2!E58&gt;8,Sheet2!E58&lt;=16),16,
IF(AND(Sheet2!E58&gt;16,Sheet2!E58&lt;=24),24,""))),
IF(AND(Sheet2!E58&gt;0,Sheet2!E58&lt;=1),1,
IF(AND(Sheet2!E58&gt;1,Sheet2!E58&lt;=2),2,
IF(AND(Sheet2!E58&gt;2,Sheet2!E58&lt;=3),3,
IF(AND(Sheet2!E58&gt;3,Sheet2!E58&lt;=4),4,
IF(AND(Sheet2!E58&gt;4,Sheet2!E58&lt;=5),5,
IF(AND(Sheet2!E58&gt;5,Sheet2!E58&lt;=6),6,
IF(AND(Sheet2!E58&gt;6,Sheet2!E58&lt;=7),7,
IF(AND(Sheet2!E58&gt;7,Sheet2!E58&lt;=8),8,
IF(AND(Sheet2!E58&gt;8,Sheet2!E58&lt;=9),9,
IF(AND(Sheet2!E58&gt;9,Sheet2!E58&lt;=10),10,
IF(AND(Sheet2!E58&gt;10,Sheet2!E58&lt;=11),11,
IF(AND(Sheet2!E58&gt;11,Sheet2!E58&lt;=12),12,
IF(AND(Sheet2!E58&gt;12,Sheet2!E58&lt;=13),13,
IF(AND(Sheet2!E58&gt;13,Sheet2!E58&lt;=14),14,
IF(AND(Sheet2!E58&gt;14,Sheet2!E58&lt;=15),15,
IF(AND(Sheet2!E58&gt;15,Sheet2!E58&lt;=16),16,
IF(AND(Sheet2!E58&gt;16,Sheet2!E58&lt;=17),17,
IF(AND(Sheet2!E58&gt;17,Sheet2!E58&lt;=18),18,
IF(AND(Sheet2!E58&gt;18,Sheet2!E58&lt;=19),19,
IF(AND(Sheet2!E58&gt;19,Sheet2!E58&lt;=20),20,
IF(AND(Sheet2!E58&gt;20,Sheet2!E58&lt;=21),21,
IF(AND(Sheet2!E58&gt;21,Sheet2!E58&lt;=22),22,
IF(AND(Sheet2!E58&gt;22,Sheet2!E58&lt;=23),23,
IF(AND(Sheet2!E58&gt;23,Sheet2!E58&lt;=24),24,""))))))))))))))))))))))))))))))),
IF(OR(AND(B65="Monday"),
AND(B65="Tuesday"),
AND(B65="Wednesday"),
AND(B65="Thursday"),
AND(B65="Friday")),
IF(SUM(IF(OR(J65="",J65="Leave",J65="sick"),0,IF(MINUTE(E65-D65)&gt;29,HOUR(E65-D65)+1,HOUR(E65-D65))),IF(AND(D66&gt;0,D66&lt;=E65),0,IF(OR(D66=0,J66="",J66="Leave",J66="sick"),0,IF(MINUTE(E66-D66)&gt;29,HOUR(E66-D66)+1,HOUR(E66-D66)))))&gt;4,
SUM(IF(OR(J65="",J65="Leave",J65="sick"),0,IF(MINUTE(E65-D65)&gt;29,HOUR(E65-D65)+1,HOUR(E65-D65))),IF(AND(D66&gt;0,D66&lt;=E65),0,IF(OR(D66=0,J66="",J66="Leave",J66="sick"),0,IF(MINUTE(E66-D66)&gt;29,HOUR(E66-D66)+1,HOUR(E66-D66)))))-1,
SUM(IF(OR(J65="",J65="Leave",J65="sick"),0,IF(MINUTE(E65-D65)&gt;29,HOUR(E65-D65)+1,HOUR(E65-D65))),IF(AND(D66&gt;0,D66&lt;=E65),0,IF(OR(D66=0,J66="",J66="Leave",J66="sick"),0,IF(MINUTE(E66-D66)&gt;29,HOUR(E66-D66)+1,HOUR(E66-D66)))))),""))),"")</f>
        <v>0</v>
      </c>
      <c r="G65" s="137" t="s">
        <v>206</v>
      </c>
      <c r="H65" s="139">
        <f t="shared" ref="H65" si="77">IFERROR(IF(SUM(IF(D65=0,0,IF(J65="Sick",IF(MINUTE(E65-D65)&gt;29,HOUR(E65-D65)+1,HOUR(E65-D65)),0)),IF(AND(D66&gt;0,D66&lt;=E65),0,IF(OR(E65=0,D66=0),0,IF(J66="Sick",IF(MINUTE(E66-D66)&gt;29,HOUR(E66-D66)+1,HOUR(E66-D66)),0))))=0,0,IF(SUM(IF(J65="Sick",IF(MINUTE(E65-D65)&gt;29,HOUR(E65-D65)+1,HOUR(E65-D65)),0),IF(J66="Sick",IF(MINUTE(E66-D66)&gt;29,HOUR(E66-D66)+1,HOUR(E66-D66)),0))&lt;=6,4,8)),"")</f>
        <v>0</v>
      </c>
      <c r="I65" s="131">
        <f t="shared" ref="I65" si="78">IFERROR(IF(SUM(IF(D65=0,0,IF(J65="Leave",IF(MINUTE(E65-D65)&gt;29,HOUR(E65-D65)+1,HOUR(E65-D65)),0)),IF(AND(D66&gt;0,D66&lt;=E65),0,IF(OR(E65=0,D66=0),0,IF(J66="leave",IF(MINUTE(E66-D66)&gt;29,HOUR(E66-D66)+1,HOUR(E66-D66)),0))))=0,0,IF(SUM(IF(J65="Leave",IF(MINUTE(E65-D65)&gt;29,HOUR(E65-D65)+1,HOUR(E65-D65)),0),IF(J66="leave",IF(MINUTE(E66-D66)&gt;29,HOUR(E66-D66)+1,HOUR(E66-D66)),0))&lt;=6,4,8)),"")</f>
        <v>0</v>
      </c>
      <c r="J65" s="126"/>
      <c r="K65" s="127"/>
      <c r="L65" s="127"/>
      <c r="M65" s="128"/>
      <c r="N65" s="153"/>
      <c r="O65" s="153"/>
      <c r="P65" s="153"/>
      <c r="Q65" s="153"/>
      <c r="R65" s="153"/>
      <c r="U65" s="115"/>
    </row>
    <row r="66" spans="2:23" s="66" customFormat="1" ht="18" customHeight="1" x14ac:dyDescent="0.45">
      <c r="B66" s="155"/>
      <c r="C66" s="136"/>
      <c r="D66" s="39"/>
      <c r="E66" s="39"/>
      <c r="F66" s="132"/>
      <c r="G66" s="138"/>
      <c r="H66" s="139"/>
      <c r="I66" s="132"/>
      <c r="J66" s="126"/>
      <c r="K66" s="127"/>
      <c r="L66" s="127"/>
      <c r="M66" s="128"/>
      <c r="N66" s="153"/>
      <c r="O66" s="153"/>
      <c r="P66" s="153"/>
      <c r="Q66" s="153"/>
      <c r="R66" s="153"/>
      <c r="U66" s="115"/>
    </row>
    <row r="67" spans="2:23" s="66" customFormat="1" ht="18" customHeight="1" x14ac:dyDescent="0.45">
      <c r="B67" s="154" t="str">
        <f t="shared" si="2"/>
        <v>Friday</v>
      </c>
      <c r="C67" s="136">
        <f t="shared" ref="C67" si="79">C65+1</f>
        <v>44771</v>
      </c>
      <c r="D67" s="39"/>
      <c r="E67" s="39"/>
      <c r="F67" s="131">
        <f>IFERROR(IF(D67=0,0,IF(OR(C67=List!$I$4,C67=List!$I$5,C67=List!$I$11,C67=List!$I$6,C67=List!$I$12,C67=List!$I$7,C67=List!$I$13,C67=List!$I$8,C67=List!$I$14,C67=List!$I$9,C67=List!$I$15,C67=List!$I$10,C67=List!$I$16,C67=List!$I$17,C67=List!$I$18,B67="Saturday",B67="Sunday"),
IF($D$2="","",
IF(AND(J67="",D67&gt;0,E67&gt;0),"",
IF(AND(D68&gt;0,E68&gt;0,J68=""),"",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IF(AND(Sheet2!E60&gt;0,Sheet2!E60&lt;=4),4,
IF(AND(Sheet2!E60&gt;4,Sheet2!E60&lt;=8),8,
IF(AND(Sheet2!E60&gt;8,Sheet2!E60&lt;=12),12,
IF(AND(Sheet2!E60&gt;12,Sheet2!E60&lt;=16),16,
IF(AND(Sheet2!E60&gt;16,Sheet2!E60&lt;=20),20,
IF(AND(Sheet2!E60&gt;20,Sheet2!E60&lt;=24),24,"")))))),
IF($D$2="CIFOR",
IF(AND(Sheet2!E60&gt;0,Sheet2!E60&lt;=9),9,
IF(AND(Sheet2!E60&gt;9,Sheet2!E60&lt;=18),18,
IF(AND(Sheet2!E60&gt;18,Sheet2!E60&lt;=24),24,""))),
IF(OR($D$2="Indika"),
IF(AND(Sheet2!E60&gt;0,Sheet2!E60&lt;=24),24,""),
IF(OR($D$2="BCA",$D$2="Bank Permata",$D$2="Sapta sarana Sejahtera (Exim Bank)",$D$2="AIA",$D$2="FIF"),
IF(AND(Sheet2!E60&gt;0,Sheet2!E60&lt;=8),8,
IF(AND(Sheet2!E60&gt;8,Sheet2!E60&lt;=16),16,
IF(AND(Sheet2!E60&gt;16,Sheet2!E60&lt;=24),24,""))),
IF(AND(Sheet2!E60&gt;0,Sheet2!E60&lt;=1),1,
IF(AND(Sheet2!E60&gt;1,Sheet2!E60&lt;=2),2,
IF(AND(Sheet2!E60&gt;2,Sheet2!E60&lt;=3),3,
IF(AND(Sheet2!E60&gt;3,Sheet2!E60&lt;=4),4,
IF(AND(Sheet2!E60&gt;4,Sheet2!E60&lt;=5),5,
IF(AND(Sheet2!E60&gt;5,Sheet2!E60&lt;=6),6,
IF(AND(Sheet2!E60&gt;6,Sheet2!E60&lt;=7),7,
IF(AND(Sheet2!E60&gt;7,Sheet2!E60&lt;=8),8,
IF(AND(Sheet2!E60&gt;8,Sheet2!E60&lt;=9),9,
IF(AND(Sheet2!E60&gt;9,Sheet2!E60&lt;=10),10,
IF(AND(Sheet2!E60&gt;10,Sheet2!E60&lt;=11),11,
IF(AND(Sheet2!E60&gt;11,Sheet2!E60&lt;=12),12,
IF(AND(Sheet2!E60&gt;12,Sheet2!E60&lt;=13),13,
IF(AND(Sheet2!E60&gt;13,Sheet2!E60&lt;=14),14,
IF(AND(Sheet2!E60&gt;14,Sheet2!E60&lt;=15),15,
IF(AND(Sheet2!E60&gt;15,Sheet2!E60&lt;=16),16,
IF(AND(Sheet2!E60&gt;16,Sheet2!E60&lt;=17),17,
IF(AND(Sheet2!E60&gt;17,Sheet2!E60&lt;=18),18,
IF(AND(Sheet2!E60&gt;18,Sheet2!E60&lt;=19),19,
IF(AND(Sheet2!E60&gt;19,Sheet2!E60&lt;=20),20,
IF(AND(Sheet2!E60&gt;20,Sheet2!E60&lt;=21),21,
IF(AND(Sheet2!E60&gt;21,Sheet2!E60&lt;=22),22,
IF(AND(Sheet2!E60&gt;22,Sheet2!E60&lt;=23),23,
IF(AND(Sheet2!E60&gt;23,Sheet2!E60&lt;=24),24,""))))))))))))))))))))))))))))))),
IF(OR(AND(B67="Monday"),
AND(B67="Tuesday"),
AND(B67="Wednesday"),
AND(B67="Thursday"),
AND(B67="Friday")),
IF(SUM(IF(OR(J67="",J67="Leave",J67="sick"),0,IF(MINUTE(E67-D67)&gt;29,HOUR(E67-D67)+1,HOUR(E67-D67))),IF(AND(D68&gt;0,D68&lt;=E67),0,IF(OR(D68=0,J68="",J68="Leave",J68="sick"),0,IF(MINUTE(E68-D68)&gt;29,HOUR(E68-D68)+1,HOUR(E68-D68)))))&gt;4,
SUM(IF(OR(J67="",J67="Leave",J67="sick"),0,IF(MINUTE(E67-D67)&gt;29,HOUR(E67-D67)+1,HOUR(E67-D67))),IF(AND(D68&gt;0,D68&lt;=E67),0,IF(OR(D68=0,J68="",J68="Leave",J68="sick"),0,IF(MINUTE(E68-D68)&gt;29,HOUR(E68-D68)+1,HOUR(E68-D68)))))-1,
SUM(IF(OR(J67="",J67="Leave",J67="sick"),0,IF(MINUTE(E67-D67)&gt;29,HOUR(E67-D67)+1,HOUR(E67-D67))),IF(AND(D68&gt;0,D68&lt;=E67),0,IF(OR(D68=0,J68="",J68="Leave",J68="sick"),0,IF(MINUTE(E68-D68)&gt;29,HOUR(E68-D68)+1,HOUR(E68-D68)))))),""))),"")</f>
        <v>0</v>
      </c>
      <c r="G67" s="137" t="s">
        <v>206</v>
      </c>
      <c r="H67" s="139">
        <f t="shared" ref="H67" si="80">IFERROR(IF(SUM(IF(D67=0,0,IF(J67="Sick",IF(MINUTE(E67-D67)&gt;29,HOUR(E67-D67)+1,HOUR(E67-D67)),0)),IF(AND(D68&gt;0,D68&lt;=E67),0,IF(OR(E67=0,D68=0),0,IF(J68="Sick",IF(MINUTE(E68-D68)&gt;29,HOUR(E68-D68)+1,HOUR(E68-D68)),0))))=0,0,IF(SUM(IF(J67="Sick",IF(MINUTE(E67-D67)&gt;29,HOUR(E67-D67)+1,HOUR(E67-D67)),0),IF(J68="Sick",IF(MINUTE(E68-D68)&gt;29,HOUR(E68-D68)+1,HOUR(E68-D68)),0))&lt;=6,4,8)),"")</f>
        <v>0</v>
      </c>
      <c r="I67" s="131">
        <f t="shared" ref="I67" si="81">IFERROR(IF(SUM(IF(D67=0,0,IF(J67="Leave",IF(MINUTE(E67-D67)&gt;29,HOUR(E67-D67)+1,HOUR(E67-D67)),0)),IF(AND(D68&gt;0,D68&lt;=E67),0,IF(OR(E67=0,D68=0),0,IF(J68="leave",IF(MINUTE(E68-D68)&gt;29,HOUR(E68-D68)+1,HOUR(E68-D68)),0))))=0,0,IF(SUM(IF(J67="Leave",IF(MINUTE(E67-D67)&gt;29,HOUR(E67-D67)+1,HOUR(E67-D67)),0),IF(J68="leave",IF(MINUTE(E68-D68)&gt;29,HOUR(E68-D68)+1,HOUR(E68-D68)),0))&lt;=6,4,8)),"")</f>
        <v>0</v>
      </c>
      <c r="J67" s="126"/>
      <c r="K67" s="127"/>
      <c r="L67" s="127"/>
      <c r="M67" s="128"/>
      <c r="N67" s="153"/>
      <c r="O67" s="153"/>
      <c r="P67" s="153"/>
      <c r="Q67" s="153"/>
      <c r="R67" s="153"/>
      <c r="U67" s="115"/>
    </row>
    <row r="68" spans="2:23" s="66" customFormat="1" ht="18" customHeight="1" x14ac:dyDescent="0.45">
      <c r="B68" s="155"/>
      <c r="C68" s="136"/>
      <c r="D68" s="39"/>
      <c r="E68" s="39"/>
      <c r="F68" s="132"/>
      <c r="G68" s="138"/>
      <c r="H68" s="139"/>
      <c r="I68" s="132"/>
      <c r="J68" s="126"/>
      <c r="K68" s="127"/>
      <c r="L68" s="127"/>
      <c r="M68" s="128"/>
      <c r="N68" s="153"/>
      <c r="O68" s="153"/>
      <c r="P68" s="153"/>
      <c r="Q68" s="153"/>
      <c r="R68" s="153"/>
      <c r="U68" s="115"/>
    </row>
    <row r="69" spans="2:23" s="66" customFormat="1" ht="18" customHeight="1" x14ac:dyDescent="0.45">
      <c r="B69" s="151" t="str">
        <f t="shared" si="2"/>
        <v>Saturday</v>
      </c>
      <c r="C69" s="135">
        <f t="shared" ref="C69" si="82">C67+1</f>
        <v>44772</v>
      </c>
      <c r="D69" s="117"/>
      <c r="E69" s="117"/>
      <c r="F69" s="129">
        <f>IFERROR(IF(D69=0,0,IF(OR(C69=List!$I$4,C69=List!$I$5,C69=List!$I$11,C69=List!$I$6,C69=List!$I$12,C69=List!$I$7,C69=List!$I$13,C69=List!$I$8,C69=List!$I$14,C69=List!$I$9,C69=List!$I$15,C69=List!$I$10,C69=List!$I$16,C69=List!$I$17,C69=List!$I$18,B69="Saturday",B69="Sunday"),
IF($D$2="","",
IF(AND(J69="",D69&gt;0,E69&gt;0),"",
IF(AND(D70&gt;0,E70&gt;0,J70=""),"",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IF(AND(Sheet2!E62&gt;0,Sheet2!E62&lt;=4),4,
IF(AND(Sheet2!E62&gt;4,Sheet2!E62&lt;=8),8,
IF(AND(Sheet2!E62&gt;8,Sheet2!E62&lt;=12),12,
IF(AND(Sheet2!E62&gt;12,Sheet2!E62&lt;=16),16,
IF(AND(Sheet2!E62&gt;16,Sheet2!E62&lt;=20),20,
IF(AND(Sheet2!E62&gt;20,Sheet2!E62&lt;=24),24,"")))))),
IF($D$2="CIFOR",
IF(AND(Sheet2!E62&gt;0,Sheet2!E62&lt;=9),9,
IF(AND(Sheet2!E62&gt;9,Sheet2!E62&lt;=18),18,
IF(AND(Sheet2!E62&gt;18,Sheet2!E62&lt;=24),24,""))),
IF(OR($D$2="Indika"),
IF(AND(Sheet2!E62&gt;0,Sheet2!E62&lt;=24),24,""),
IF(OR($D$2="BCA",$D$2="Bank Permata",$D$2="Sapta sarana Sejahtera (Exim Bank)",$D$2="AIA",$D$2="FIF"),
IF(AND(Sheet2!E62&gt;0,Sheet2!E62&lt;=8),8,
IF(AND(Sheet2!E62&gt;8,Sheet2!E62&lt;=16),16,
IF(AND(Sheet2!E62&gt;16,Sheet2!E62&lt;=24),24,""))),
IF(AND(Sheet2!E62&gt;0,Sheet2!E62&lt;=1),1,
IF(AND(Sheet2!E62&gt;1,Sheet2!E62&lt;=2),2,
IF(AND(Sheet2!E62&gt;2,Sheet2!E62&lt;=3),3,
IF(AND(Sheet2!E62&gt;3,Sheet2!E62&lt;=4),4,
IF(AND(Sheet2!E62&gt;4,Sheet2!E62&lt;=5),5,
IF(AND(Sheet2!E62&gt;5,Sheet2!E62&lt;=6),6,
IF(AND(Sheet2!E62&gt;6,Sheet2!E62&lt;=7),7,
IF(AND(Sheet2!E62&gt;7,Sheet2!E62&lt;=8),8,
IF(AND(Sheet2!E62&gt;8,Sheet2!E62&lt;=9),9,
IF(AND(Sheet2!E62&gt;9,Sheet2!E62&lt;=10),10,
IF(AND(Sheet2!E62&gt;10,Sheet2!E62&lt;=11),11,
IF(AND(Sheet2!E62&gt;11,Sheet2!E62&lt;=12),12,
IF(AND(Sheet2!E62&gt;12,Sheet2!E62&lt;=13),13,
IF(AND(Sheet2!E62&gt;13,Sheet2!E62&lt;=14),14,
IF(AND(Sheet2!E62&gt;14,Sheet2!E62&lt;=15),15,
IF(AND(Sheet2!E62&gt;15,Sheet2!E62&lt;=16),16,
IF(AND(Sheet2!E62&gt;16,Sheet2!E62&lt;=17),17,
IF(AND(Sheet2!E62&gt;17,Sheet2!E62&lt;=18),18,
IF(AND(Sheet2!E62&gt;18,Sheet2!E62&lt;=19),19,
IF(AND(Sheet2!E62&gt;19,Sheet2!E62&lt;=20),20,
IF(AND(Sheet2!E62&gt;20,Sheet2!E62&lt;=21),21,
IF(AND(Sheet2!E62&gt;21,Sheet2!E62&lt;=22),22,
IF(AND(Sheet2!E62&gt;22,Sheet2!E62&lt;=23),23,
IF(AND(Sheet2!E62&gt;23,Sheet2!E62&lt;=24),24,""))))))))))))))))))))))))))))))),
IF(OR(AND(B69="Monday"),
AND(B69="Tuesday"),
AND(B69="Wednesday"),
AND(B69="Thursday"),
AND(B69="Friday")),
IF(SUM(IF(OR(J69="",J69="Leave",J69="sick"),0,IF(MINUTE(E69-D69)&gt;29,HOUR(E69-D69)+1,HOUR(E69-D69))),IF(AND(D70&gt;0,D70&lt;=E69),0,IF(OR(D70=0,J70="",J70="Leave",J70="sick"),0,IF(MINUTE(E70-D70)&gt;29,HOUR(E70-D70)+1,HOUR(E70-D70)))))&gt;4,
SUM(IF(OR(J69="",J69="Leave",J69="sick"),0,IF(MINUTE(E69-D69)&gt;29,HOUR(E69-D69)+1,HOUR(E69-D69))),IF(AND(D70&gt;0,D70&lt;=E69),0,IF(OR(D70=0,J70="",J70="Leave",J70="sick"),0,IF(MINUTE(E70-D70)&gt;29,HOUR(E70-D70)+1,HOUR(E70-D70)))))-1,
SUM(IF(OR(J69="",J69="Leave",J69="sick"),0,IF(MINUTE(E69-D69)&gt;29,HOUR(E69-D69)+1,HOUR(E69-D69))),IF(AND(D70&gt;0,D70&lt;=E69),0,IF(OR(D70=0,J70="",J70="Leave",J70="sick"),0,IF(MINUTE(E70-D70)&gt;29,HOUR(E70-D70)+1,HOUR(E70-D70)))))),""))),"")</f>
        <v>0</v>
      </c>
      <c r="G69" s="143" t="s">
        <v>206</v>
      </c>
      <c r="H69" s="140">
        <f t="shared" ref="H69" si="83">IFERROR(IF(SUM(IF(D69=0,0,IF(J69="Sick",IF(MINUTE(E69-D69)&gt;29,HOUR(E69-D69)+1,HOUR(E69-D69)),0)),IF(AND(D70&gt;0,D70&lt;=E69),0,IF(OR(E69=0,D70=0),0,IF(J70="Sick",IF(MINUTE(E70-D70)&gt;29,HOUR(E70-D70)+1,HOUR(E70-D70)),0))))=0,0,IF(SUM(IF(J69="Sick",IF(MINUTE(E69-D69)&gt;29,HOUR(E69-D69)+1,HOUR(E69-D69)),0),IF(J70="Sick",IF(MINUTE(E70-D70)&gt;29,HOUR(E70-D70)+1,HOUR(E70-D70)),0))&lt;=6,4,8)),"")</f>
        <v>0</v>
      </c>
      <c r="I69" s="129">
        <f t="shared" ref="I69" si="84">IFERROR(IF(SUM(IF(D69=0,0,IF(J69="Leave",IF(MINUTE(E69-D69)&gt;29,HOUR(E69-D69)+1,HOUR(E69-D69)),0)),IF(AND(D70&gt;0,D70&lt;=E69),0,IF(OR(E69=0,D70=0),0,IF(J70="leave",IF(MINUTE(E70-D70)&gt;29,HOUR(E70-D70)+1,HOUR(E70-D70)),0))))=0,0,IF(SUM(IF(J69="Leave",IF(MINUTE(E69-D69)&gt;29,HOUR(E69-D69)+1,HOUR(E69-D69)),0),IF(J70="leave",IF(MINUTE(E70-D70)&gt;29,HOUR(E70-D70)+1,HOUR(E70-D70)),0))&lt;=6,4,8)),"")</f>
        <v>0</v>
      </c>
      <c r="J69" s="123"/>
      <c r="K69" s="124"/>
      <c r="L69" s="124"/>
      <c r="M69" s="125"/>
      <c r="N69" s="157"/>
      <c r="O69" s="157"/>
      <c r="P69" s="157"/>
      <c r="Q69" s="157"/>
      <c r="R69" s="157"/>
      <c r="U69" s="115"/>
    </row>
    <row r="70" spans="2:23" s="66" customFormat="1" ht="18" customHeight="1" x14ac:dyDescent="0.45">
      <c r="B70" s="152"/>
      <c r="C70" s="135"/>
      <c r="D70" s="117"/>
      <c r="E70" s="117"/>
      <c r="F70" s="130"/>
      <c r="G70" s="144"/>
      <c r="H70" s="140"/>
      <c r="I70" s="130"/>
      <c r="J70" s="123"/>
      <c r="K70" s="124"/>
      <c r="L70" s="124"/>
      <c r="M70" s="125"/>
      <c r="N70" s="157"/>
      <c r="O70" s="157"/>
      <c r="P70" s="157"/>
      <c r="Q70" s="157"/>
      <c r="R70" s="157"/>
      <c r="U70" s="115"/>
    </row>
    <row r="71" spans="2:23" s="21" customFormat="1" ht="15" customHeight="1" x14ac:dyDescent="0.35">
      <c r="B71" s="151" t="str">
        <f>CHOOSE(WEEKDAY(C71),"Sunday","Monday","Tuesday","Wednesday","Thursday","Friday","Saturday")</f>
        <v>Sunday</v>
      </c>
      <c r="C71" s="135">
        <f t="shared" ref="C71" si="85">C69+1</f>
        <v>44773</v>
      </c>
      <c r="D71" s="117"/>
      <c r="E71" s="117"/>
      <c r="F71" s="129">
        <f>IFERROR(IF(D71=0,0,IF(OR(C71=List!$I$4,C71=List!$I$5,C71=List!$I$11,C71=List!$I$6,C71=List!$I$12,C71=List!$I$7,C71=List!$I$13,C71=List!$I$8,C71=List!$I$14,C71=List!$I$9,C71=List!$I$15,C71=List!$I$10,C71=List!$I$16,C71=List!$I$17,C71=List!$I$18,B71="Saturday",B71="Sunday"),
IF($D$2="","",
IF(AND(J71="",D71&gt;0,E71&gt;0),"",
IF(AND(D72&gt;0,E72&gt;0,J72=""),"",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IF(AND(Sheet2!E64&gt;0,Sheet2!E64&lt;=4),4,
IF(AND(Sheet2!E64&gt;4,Sheet2!E64&lt;=8),8,
IF(AND(Sheet2!E64&gt;8,Sheet2!E64&lt;=12),12,
IF(AND(Sheet2!E64&gt;12,Sheet2!E64&lt;=16),16,
IF(AND(Sheet2!E64&gt;16,Sheet2!E64&lt;=20),20,
IF(AND(Sheet2!E64&gt;20,Sheet2!E64&lt;=24),24,"")))))),
IF($D$2="CIFOR",
IF(AND(Sheet2!E64&gt;0,Sheet2!E64&lt;=9),9,
IF(AND(Sheet2!E64&gt;9,Sheet2!E64&lt;=18),18,
IF(AND(Sheet2!E64&gt;18,Sheet2!E64&lt;=24),24,""))),
IF(OR($D$2="Indika"),
IF(AND(Sheet2!E64&gt;0,Sheet2!E64&lt;=24),24,""),
IF(OR($D$2="BCA",$D$2="Seatech",$D$2="Bank Permata",$D$2="Sapta sarana Sejahtera (Exim Bank)",$D$2="AIA",$D$2="FIF"),
IF(AND(Sheet2!E64&gt;0,Sheet2!E64&lt;=8),8,
IF(AND(Sheet2!E64&gt;8,Sheet2!E64&lt;=16),16,
IF(AND(Sheet2!E64&gt;16,Sheet2!E64&lt;=24),24,""))),
IF(AND(Sheet2!E64&gt;0,Sheet2!E64&lt;=1),1,
IF(AND(Sheet2!E64&gt;1,Sheet2!E64&lt;=2),2,
IF(AND(Sheet2!E64&gt;2,Sheet2!E64&lt;=3),3,
IF(AND(Sheet2!E64&gt;3,Sheet2!E64&lt;=4),4,
IF(AND(Sheet2!E64&gt;4,Sheet2!E64&lt;=5),5,
IF(AND(Sheet2!E64&gt;5,Sheet2!E64&lt;=6),6,
IF(AND(Sheet2!E64&gt;6,Sheet2!E64&lt;=7),7,
IF(AND(Sheet2!E64&gt;7,Sheet2!E64&lt;=8),8,
IF(AND(Sheet2!E64&gt;8,Sheet2!E64&lt;=9),9,
IF(AND(Sheet2!E64&gt;9,Sheet2!E64&lt;=10),10,
IF(AND(Sheet2!E64&gt;10,Sheet2!E64&lt;=11),11,
IF(AND(Sheet2!E64&gt;11,Sheet2!E64&lt;=12),12,
IF(AND(Sheet2!E64&gt;12,Sheet2!E64&lt;=13),13,
IF(AND(Sheet2!E64&gt;13,Sheet2!E64&lt;=14),14,
IF(AND(Sheet2!E64&gt;14,Sheet2!E64&lt;=15),15,
IF(AND(Sheet2!E64&gt;15,Sheet2!E64&lt;=16),16,
IF(AND(Sheet2!E64&gt;16,Sheet2!E64&lt;=17),17,
IF(AND(Sheet2!E64&gt;17,Sheet2!E64&lt;=18),18,
IF(AND(Sheet2!E64&gt;18,Sheet2!E64&lt;=19),19,
IF(AND(Sheet2!E64&gt;19,Sheet2!E64&lt;=20),20,
IF(AND(Sheet2!E64&gt;20,Sheet2!E64&lt;=21),21,
IF(AND(Sheet2!E64&gt;21,Sheet2!E64&lt;=22),22,
IF(AND(Sheet2!E64&gt;22,Sheet2!E64&lt;=23),23,
IF(AND(Sheet2!E64&gt;23,Sheet2!E64&lt;=24),24,""))))))))))))))))))))))))))))))),
IF(OR(AND(B71="Monday"),
AND(B71="Tuesday"),
AND(B71="Wednesday"),
AND(B71="Thursday"),
AND(B71="Friday")),
IF(SUM(IF(OR(J71="",J71="Leave",J71="sick"),0,IF(MINUTE(E71-D71)&gt;29,HOUR(E71-D71)+1,HOUR(E71-D71))),IF(AND(D72&gt;0,D72&lt;=E71),0,IF(OR(D72=0,J72="",J72="Leave",J72="sick"),0,IF(MINUTE(E72-D72)&gt;29,HOUR(E72-D72)+1,HOUR(E72-D72)))))&gt;4,
SUM(IF(OR(J71="",J71="Leave",J71="sick"),0,IF(MINUTE(E71-D71)&gt;29,HOUR(E71-D71)+1,HOUR(E71-D71))),IF(AND(D72&gt;0,D72&lt;=E71),0,IF(OR(D72=0,J72="",J72="Leave",J72="sick"),0,IF(MINUTE(E72-D72)&gt;29,HOUR(E72-D72)+1,HOUR(E72-D72)))))-1,
SUM(IF(OR(J71="",J71="Leave",J71="sick"),0,IF(MINUTE(E71-D71)&gt;29,HOUR(E71-D71)+1,HOUR(E71-D71))),IF(AND(D72&gt;0,D72&lt;=E71),0,IF(OR(D72=0,J72="",J72="Leave",J72="sick"),0,IF(MINUTE(E72-D72)&gt;29,HOUR(E72-D72)+1,HOUR(E72-D72)))))),""))),"")</f>
        <v>0</v>
      </c>
      <c r="G71" s="143" t="s">
        <v>206</v>
      </c>
      <c r="H71" s="140">
        <f t="shared" ref="H71" si="86">IFERROR(IF(SUM(IF(D71=0,0,IF(J71="Sick",IF(MINUTE(E71-D71)&gt;29,HOUR(E71-D71)+1,HOUR(E71-D71)),0)),IF(AND(D72&gt;0,D72&lt;=E71),0,IF(OR(E71=0,D72=0),0,IF(J72="Sick",IF(MINUTE(E72-D72)&gt;29,HOUR(E72-D72)+1,HOUR(E72-D72)),0))))=0,0,IF(SUM(IF(J71="Sick",IF(MINUTE(E71-D71)&gt;29,HOUR(E71-D71)+1,HOUR(E71-D71)),0),IF(J72="Sick",IF(MINUTE(E72-D72)&gt;29,HOUR(E72-D72)+1,HOUR(E72-D72)),0))&lt;=6,4,8)),"")</f>
        <v>0</v>
      </c>
      <c r="I71" s="129">
        <f t="shared" ref="I71" si="87">IFERROR(IF(SUM(IF(D71=0,0,IF(J71="Leave",IF(MINUTE(E71-D71)&gt;29,HOUR(E71-D71)+1,HOUR(E71-D71)),0)),IF(AND(D72&gt;0,D72&lt;=E71),0,IF(OR(E71=0,D72=0),0,IF(J72="leave",IF(MINUTE(E72-D72)&gt;29,HOUR(E72-D72)+1,HOUR(E72-D72)),0))))=0,0,IF(SUM(IF(J71="Leave",IF(MINUTE(E71-D71)&gt;29,HOUR(E71-D71)+1,HOUR(E71-D71)),0),IF(J72="leave",IF(MINUTE(E72-D72)&gt;29,HOUR(E72-D72)+1,HOUR(E72-D72)),0))&lt;=6,4,8)),"")</f>
        <v>0</v>
      </c>
      <c r="J71" s="123"/>
      <c r="K71" s="124"/>
      <c r="L71" s="124"/>
      <c r="M71" s="125"/>
      <c r="N71" s="158"/>
      <c r="O71" s="157"/>
      <c r="P71" s="157"/>
      <c r="Q71" s="157"/>
      <c r="R71" s="157"/>
      <c r="U71" s="70"/>
    </row>
    <row r="72" spans="2:23" s="21" customFormat="1" ht="15.75" customHeight="1" x14ac:dyDescent="0.35">
      <c r="B72" s="152"/>
      <c r="C72" s="135"/>
      <c r="D72" s="117"/>
      <c r="E72" s="117"/>
      <c r="F72" s="130"/>
      <c r="G72" s="144"/>
      <c r="H72" s="140"/>
      <c r="I72" s="130"/>
      <c r="J72" s="123"/>
      <c r="K72" s="124"/>
      <c r="L72" s="124"/>
      <c r="M72" s="125"/>
      <c r="N72" s="157"/>
      <c r="O72" s="157"/>
      <c r="P72" s="157"/>
      <c r="Q72" s="157"/>
      <c r="R72" s="157"/>
      <c r="U72" s="113">
        <f>List!F19</f>
        <v>21</v>
      </c>
    </row>
    <row r="73" spans="2:23" s="21" customFormat="1" ht="16.5" customHeight="1" x14ac:dyDescent="0.35">
      <c r="B73" s="18"/>
      <c r="C73" s="19"/>
      <c r="D73" s="28"/>
      <c r="E73" s="19"/>
      <c r="F73" s="20"/>
      <c r="G73" s="19"/>
      <c r="H73" s="19"/>
      <c r="I73" s="20"/>
      <c r="J73" s="20"/>
      <c r="K73" s="19"/>
      <c r="L73" s="19"/>
      <c r="M73" s="19"/>
      <c r="N73" s="19"/>
      <c r="O73" s="19"/>
      <c r="P73" s="19"/>
      <c r="Q73" s="19"/>
      <c r="R73" s="19"/>
      <c r="T73" s="10"/>
      <c r="U73" s="69"/>
      <c r="V73" s="10"/>
      <c r="W73" s="10"/>
    </row>
    <row r="74" spans="2:23" s="21" customFormat="1" ht="15" customHeight="1" x14ac:dyDescent="0.35">
      <c r="B74" s="18"/>
      <c r="C74" s="19"/>
      <c r="D74" s="19"/>
      <c r="E74" s="19"/>
      <c r="F74" s="20"/>
      <c r="G74" s="19"/>
      <c r="H74" s="19"/>
      <c r="I74" s="20"/>
      <c r="J74" s="20"/>
      <c r="K74" s="19"/>
      <c r="L74" s="19"/>
      <c r="M74" s="19"/>
      <c r="N74" s="19"/>
      <c r="O74" s="19"/>
      <c r="P74" s="19"/>
      <c r="Q74" s="19"/>
      <c r="R74" s="19"/>
      <c r="T74" s="10"/>
      <c r="U74" s="69"/>
      <c r="V74" s="10"/>
      <c r="W74" s="10"/>
    </row>
    <row r="75" spans="2:23" s="21" customFormat="1" ht="15" customHeight="1" x14ac:dyDescent="0.35">
      <c r="B75" s="18"/>
      <c r="C75" s="19"/>
      <c r="D75" s="19"/>
      <c r="E75" s="19"/>
      <c r="F75" s="20"/>
      <c r="G75" s="19"/>
      <c r="H75" s="19"/>
      <c r="I75" s="20"/>
      <c r="J75" s="20"/>
      <c r="K75" s="19"/>
      <c r="L75" s="19"/>
      <c r="M75" s="19"/>
      <c r="N75" s="19"/>
      <c r="O75" s="19"/>
      <c r="P75" s="19"/>
      <c r="Q75" s="19"/>
      <c r="R75" s="19"/>
      <c r="T75" s="10"/>
      <c r="U75" s="69"/>
      <c r="V75" s="10"/>
      <c r="W75" s="10"/>
    </row>
    <row r="76" spans="2:23" s="21" customFormat="1" ht="62" x14ac:dyDescent="0.35">
      <c r="B76" s="18"/>
      <c r="E76" s="40" t="s">
        <v>53</v>
      </c>
      <c r="F76" s="40" t="s">
        <v>54</v>
      </c>
      <c r="G76" s="63" t="s">
        <v>55</v>
      </c>
      <c r="H76" s="63" t="s">
        <v>56</v>
      </c>
      <c r="I76" s="63" t="s">
        <v>73</v>
      </c>
      <c r="J76" s="63" t="s">
        <v>74</v>
      </c>
      <c r="K76" s="63" t="s">
        <v>75</v>
      </c>
      <c r="L76" s="63" t="s">
        <v>61</v>
      </c>
      <c r="M76" s="63" t="s">
        <v>62</v>
      </c>
      <c r="N76" s="63" t="s">
        <v>64</v>
      </c>
      <c r="O76" s="63" t="s">
        <v>63</v>
      </c>
      <c r="R76" s="10"/>
      <c r="S76" s="10"/>
      <c r="U76" s="70"/>
    </row>
    <row r="77" spans="2:23" s="21" customFormat="1" ht="15" customHeight="1" x14ac:dyDescent="0.35">
      <c r="B77" s="18"/>
      <c r="E77" s="193">
        <f>F77*8</f>
        <v>0</v>
      </c>
      <c r="F77" s="193">
        <f>COUNTIF(List!$K$3:$K$70,"&gt;0")</f>
        <v>0</v>
      </c>
      <c r="G77" s="177">
        <f>SUM('Timesheet-Regular'!$F$11:$F$72)</f>
        <v>0</v>
      </c>
      <c r="H77" s="177">
        <f>G77/8</f>
        <v>0</v>
      </c>
      <c r="I77" s="177" t="str">
        <f>IF($D$6="Yes",COUNTIF(List!L3:L70,"morning"),"")</f>
        <v/>
      </c>
      <c r="J77" s="177" t="str">
        <f>IF($D$6="Yes",COUNTIF(List!L3:L70,"afternoon"),"")</f>
        <v/>
      </c>
      <c r="K77" s="177" t="str">
        <f>IF($D$6="Yes",COUNTIF(List!L3:L70,"night"),"")</f>
        <v/>
      </c>
      <c r="L77" s="177">
        <f>SUM('Timesheet-Regular'!$H$11:$H$72)</f>
        <v>0</v>
      </c>
      <c r="M77" s="177">
        <f>L77/8</f>
        <v>0</v>
      </c>
      <c r="N77" s="177">
        <f>SUM('Timesheet-Regular'!$I$11:$I$72)</f>
        <v>0</v>
      </c>
      <c r="O77" s="177">
        <f>N77/8</f>
        <v>0</v>
      </c>
      <c r="R77" s="10"/>
      <c r="S77" s="10"/>
      <c r="U77" s="70"/>
    </row>
    <row r="78" spans="2:23" s="21" customFormat="1" ht="15" customHeight="1" x14ac:dyDescent="0.35">
      <c r="B78" s="18"/>
      <c r="E78" s="193"/>
      <c r="F78" s="193"/>
      <c r="G78" s="178"/>
      <c r="H78" s="178"/>
      <c r="I78" s="178"/>
      <c r="J78" s="178"/>
      <c r="K78" s="178"/>
      <c r="L78" s="178"/>
      <c r="M78" s="178"/>
      <c r="N78" s="178"/>
      <c r="O78" s="178"/>
      <c r="R78" s="10"/>
      <c r="S78" s="10"/>
      <c r="U78" s="70"/>
    </row>
    <row r="79" spans="2:23" s="21" customFormat="1" ht="15" customHeight="1" x14ac:dyDescent="0.35">
      <c r="B79" s="18"/>
      <c r="E79" s="193"/>
      <c r="F79" s="193"/>
      <c r="G79" s="179"/>
      <c r="H79" s="179"/>
      <c r="I79" s="179"/>
      <c r="J79" s="179"/>
      <c r="K79" s="179"/>
      <c r="L79" s="179"/>
      <c r="M79" s="179"/>
      <c r="N79" s="179"/>
      <c r="O79" s="179"/>
      <c r="R79" s="10"/>
      <c r="S79" s="10"/>
      <c r="U79" s="70"/>
    </row>
    <row r="80" spans="2:23" s="21" customFormat="1" ht="18" customHeight="1" x14ac:dyDescent="0.35">
      <c r="B80" s="18"/>
      <c r="C80" s="19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19"/>
      <c r="T80" s="10"/>
      <c r="U80" s="69"/>
      <c r="V80" s="10"/>
      <c r="W80" s="10"/>
    </row>
    <row r="81" spans="2:21" s="21" customFormat="1" ht="15" hidden="1" customHeight="1" x14ac:dyDescent="0.35">
      <c r="B81" s="18"/>
      <c r="C81" s="19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19"/>
      <c r="R81" s="19"/>
      <c r="U81" s="70"/>
    </row>
    <row r="82" spans="2:21" s="21" customFormat="1" ht="15" hidden="1" customHeight="1" x14ac:dyDescent="0.35">
      <c r="B82" s="18"/>
      <c r="C82" s="19"/>
      <c r="D82" s="19"/>
      <c r="E82" s="19"/>
      <c r="F82" s="20"/>
      <c r="G82" s="19"/>
      <c r="H82" s="19"/>
      <c r="I82" s="20"/>
      <c r="J82" s="20"/>
      <c r="K82" s="19"/>
      <c r="L82" s="19"/>
      <c r="M82" s="19"/>
      <c r="N82" s="19"/>
      <c r="O82" s="19"/>
      <c r="P82" s="19"/>
      <c r="Q82" s="19"/>
      <c r="R82" s="19"/>
      <c r="U82" s="70"/>
    </row>
    <row r="83" spans="2:21" ht="15" customHeight="1" x14ac:dyDescent="0.35">
      <c r="B83" s="183" t="s">
        <v>1</v>
      </c>
      <c r="C83" s="183"/>
      <c r="D83" s="183"/>
      <c r="E83" s="183" t="s">
        <v>11</v>
      </c>
      <c r="F83" s="183"/>
      <c r="G83" s="183"/>
      <c r="H83" s="180" t="s">
        <v>138</v>
      </c>
      <c r="I83" s="181"/>
      <c r="J83" s="182"/>
      <c r="K83" s="180" t="s">
        <v>11</v>
      </c>
      <c r="L83" s="181"/>
      <c r="M83" s="182"/>
      <c r="N83" s="180" t="s">
        <v>139</v>
      </c>
      <c r="O83" s="181"/>
      <c r="P83" s="182"/>
      <c r="Q83" s="183" t="s">
        <v>11</v>
      </c>
      <c r="R83" s="183"/>
    </row>
    <row r="84" spans="2:21" ht="15" customHeight="1" x14ac:dyDescent="0.35">
      <c r="B84" s="184">
        <f>D3</f>
        <v>0</v>
      </c>
      <c r="C84" s="185"/>
      <c r="D84" s="186"/>
      <c r="E84" s="159"/>
      <c r="F84" s="160"/>
      <c r="G84" s="161"/>
      <c r="H84" s="168"/>
      <c r="I84" s="169"/>
      <c r="J84" s="170"/>
      <c r="K84" s="159"/>
      <c r="L84" s="160"/>
      <c r="M84" s="161"/>
      <c r="N84" s="168"/>
      <c r="O84" s="169"/>
      <c r="P84" s="170"/>
      <c r="Q84" s="159"/>
      <c r="R84" s="161"/>
    </row>
    <row r="85" spans="2:21" ht="15" customHeight="1" x14ac:dyDescent="0.35">
      <c r="B85" s="187"/>
      <c r="C85" s="188"/>
      <c r="D85" s="189"/>
      <c r="E85" s="162"/>
      <c r="F85" s="163"/>
      <c r="G85" s="164"/>
      <c r="H85" s="171"/>
      <c r="I85" s="172"/>
      <c r="J85" s="173"/>
      <c r="K85" s="162"/>
      <c r="L85" s="163"/>
      <c r="M85" s="164"/>
      <c r="N85" s="171"/>
      <c r="O85" s="172"/>
      <c r="P85" s="173"/>
      <c r="Q85" s="162"/>
      <c r="R85" s="164"/>
    </row>
    <row r="86" spans="2:21" ht="15" customHeight="1" x14ac:dyDescent="0.35">
      <c r="B86" s="187"/>
      <c r="C86" s="188"/>
      <c r="D86" s="189"/>
      <c r="E86" s="162"/>
      <c r="F86" s="163"/>
      <c r="G86" s="164"/>
      <c r="H86" s="171"/>
      <c r="I86" s="172"/>
      <c r="J86" s="173"/>
      <c r="K86" s="162"/>
      <c r="L86" s="163"/>
      <c r="M86" s="164"/>
      <c r="N86" s="171"/>
      <c r="O86" s="172"/>
      <c r="P86" s="173"/>
      <c r="Q86" s="162"/>
      <c r="R86" s="164"/>
    </row>
    <row r="87" spans="2:21" ht="15" customHeight="1" x14ac:dyDescent="0.35">
      <c r="B87" s="190"/>
      <c r="C87" s="191"/>
      <c r="D87" s="192"/>
      <c r="E87" s="165"/>
      <c r="F87" s="166"/>
      <c r="G87" s="167"/>
      <c r="H87" s="174"/>
      <c r="I87" s="175"/>
      <c r="J87" s="176"/>
      <c r="K87" s="165"/>
      <c r="L87" s="166"/>
      <c r="M87" s="167"/>
      <c r="N87" s="174"/>
      <c r="O87" s="175"/>
      <c r="P87" s="176"/>
      <c r="Q87" s="165"/>
      <c r="R87" s="167"/>
    </row>
    <row r="88" spans="2:21" ht="15" customHeight="1" x14ac:dyDescent="0.35">
      <c r="B88" s="18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2:21" ht="15" customHeight="1" x14ac:dyDescent="0.35">
      <c r="B89" s="18"/>
      <c r="C89" s="19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</row>
    <row r="90" spans="2:21" ht="12" customHeight="1" x14ac:dyDescent="0.35">
      <c r="B90" s="18"/>
      <c r="C90" s="19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</row>
  </sheetData>
  <sheetProtection algorithmName="SHA-512" hashValue="Q7YZa+xs53nrUR0HYWujVbqWd6vy76s/IS+LOSmMY5aPG4kLRqHeQWEjQwD6o/EGwi7z1nBE1hC1yv8SQIR09g==" saltValue="G9kn4s0kfE2NTT6/js4J6w==" spinCount="100000" sheet="1" objects="1" scenarios="1"/>
  <dataConsolidate/>
  <mergeCells count="353">
    <mergeCell ref="B5:C5"/>
    <mergeCell ref="D5:J5"/>
    <mergeCell ref="J71:M71"/>
    <mergeCell ref="N71:R71"/>
    <mergeCell ref="J72:M72"/>
    <mergeCell ref="N72:R72"/>
    <mergeCell ref="N34:R34"/>
    <mergeCell ref="J39:M39"/>
    <mergeCell ref="J33:M33"/>
    <mergeCell ref="N49:R49"/>
    <mergeCell ref="N50:R50"/>
    <mergeCell ref="N51:R51"/>
    <mergeCell ref="N43:R43"/>
    <mergeCell ref="N36:R36"/>
    <mergeCell ref="N41:R41"/>
    <mergeCell ref="N42:R42"/>
    <mergeCell ref="N47:R47"/>
    <mergeCell ref="N48:R48"/>
    <mergeCell ref="J42:M42"/>
    <mergeCell ref="J43:M43"/>
    <mergeCell ref="N44:R44"/>
    <mergeCell ref="J28:M28"/>
    <mergeCell ref="J34:M34"/>
    <mergeCell ref="J35:M35"/>
    <mergeCell ref="T11:T12"/>
    <mergeCell ref="J70:M70"/>
    <mergeCell ref="N69:R69"/>
    <mergeCell ref="N70:R70"/>
    <mergeCell ref="J37:M37"/>
    <mergeCell ref="J30:M30"/>
    <mergeCell ref="N52:R52"/>
    <mergeCell ref="N37:R37"/>
    <mergeCell ref="N38:R38"/>
    <mergeCell ref="J29:M29"/>
    <mergeCell ref="J31:M31"/>
    <mergeCell ref="J32:M32"/>
    <mergeCell ref="J38:M38"/>
    <mergeCell ref="N28:R28"/>
    <mergeCell ref="N31:R31"/>
    <mergeCell ref="N32:R32"/>
    <mergeCell ref="N33:R33"/>
    <mergeCell ref="N40:R40"/>
    <mergeCell ref="N45:R45"/>
    <mergeCell ref="N46:R46"/>
    <mergeCell ref="J17:M17"/>
    <mergeCell ref="N29:R29"/>
    <mergeCell ref="N30:R30"/>
    <mergeCell ref="J60:M60"/>
    <mergeCell ref="N10:R10"/>
    <mergeCell ref="N11:R11"/>
    <mergeCell ref="N12:R12"/>
    <mergeCell ref="N13:R13"/>
    <mergeCell ref="N14:R14"/>
    <mergeCell ref="N15:R15"/>
    <mergeCell ref="N16:R16"/>
    <mergeCell ref="N17:R17"/>
    <mergeCell ref="N18:R18"/>
    <mergeCell ref="N26:R26"/>
    <mergeCell ref="N27:R27"/>
    <mergeCell ref="N23:R23"/>
    <mergeCell ref="N35:R35"/>
    <mergeCell ref="N19:R19"/>
    <mergeCell ref="N20:R20"/>
    <mergeCell ref="N21:R21"/>
    <mergeCell ref="N22:R22"/>
    <mergeCell ref="N25:R25"/>
    <mergeCell ref="N24:R24"/>
    <mergeCell ref="H53:H54"/>
    <mergeCell ref="H55:H56"/>
    <mergeCell ref="G43:G44"/>
    <mergeCell ref="H51:H52"/>
    <mergeCell ref="I49:I50"/>
    <mergeCell ref="J19:M19"/>
    <mergeCell ref="J20:M20"/>
    <mergeCell ref="J21:M21"/>
    <mergeCell ref="J22:M22"/>
    <mergeCell ref="J23:M23"/>
    <mergeCell ref="J27:M27"/>
    <mergeCell ref="J26:M26"/>
    <mergeCell ref="J36:M36"/>
    <mergeCell ref="H35:H36"/>
    <mergeCell ref="I35:I36"/>
    <mergeCell ref="H19:H20"/>
    <mergeCell ref="H29:H30"/>
    <mergeCell ref="H47:H48"/>
    <mergeCell ref="G47:G48"/>
    <mergeCell ref="I25:I26"/>
    <mergeCell ref="G27:G28"/>
    <mergeCell ref="H27:H28"/>
    <mergeCell ref="G41:G42"/>
    <mergeCell ref="G39:G40"/>
    <mergeCell ref="F25:F26"/>
    <mergeCell ref="F27:F28"/>
    <mergeCell ref="F29:F30"/>
    <mergeCell ref="G29:G30"/>
    <mergeCell ref="G25:G26"/>
    <mergeCell ref="G35:G36"/>
    <mergeCell ref="H41:H42"/>
    <mergeCell ref="H39:H40"/>
    <mergeCell ref="G37:G38"/>
    <mergeCell ref="H25:H26"/>
    <mergeCell ref="H37:H38"/>
    <mergeCell ref="G31:G32"/>
    <mergeCell ref="G33:G34"/>
    <mergeCell ref="H33:H34"/>
    <mergeCell ref="H31:H32"/>
    <mergeCell ref="F39:F40"/>
    <mergeCell ref="F41:F42"/>
    <mergeCell ref="F31:F32"/>
    <mergeCell ref="F33:F34"/>
    <mergeCell ref="F35:F36"/>
    <mergeCell ref="F37:F38"/>
    <mergeCell ref="G45:G46"/>
    <mergeCell ref="C45:C46"/>
    <mergeCell ref="C51:C52"/>
    <mergeCell ref="H45:H46"/>
    <mergeCell ref="H43:H44"/>
    <mergeCell ref="F45:F46"/>
    <mergeCell ref="F43:F44"/>
    <mergeCell ref="B45:B46"/>
    <mergeCell ref="B51:B52"/>
    <mergeCell ref="C47:C48"/>
    <mergeCell ref="C49:C50"/>
    <mergeCell ref="B27:B28"/>
    <mergeCell ref="B29:B30"/>
    <mergeCell ref="B31:B32"/>
    <mergeCell ref="B33:B34"/>
    <mergeCell ref="B35:B36"/>
    <mergeCell ref="B37:B38"/>
    <mergeCell ref="C41:C42"/>
    <mergeCell ref="C43:C44"/>
    <mergeCell ref="B39:B40"/>
    <mergeCell ref="B41:B42"/>
    <mergeCell ref="B43:B44"/>
    <mergeCell ref="C27:C28"/>
    <mergeCell ref="C29:C30"/>
    <mergeCell ref="C35:C36"/>
    <mergeCell ref="C37:C38"/>
    <mergeCell ref="C39:C40"/>
    <mergeCell ref="C31:C32"/>
    <mergeCell ref="C33:C34"/>
    <mergeCell ref="B2:C2"/>
    <mergeCell ref="D2:J2"/>
    <mergeCell ref="B3:C3"/>
    <mergeCell ref="D3:J3"/>
    <mergeCell ref="C21:C22"/>
    <mergeCell ref="C23:C24"/>
    <mergeCell ref="C25:C26"/>
    <mergeCell ref="B11:B12"/>
    <mergeCell ref="B13:B14"/>
    <mergeCell ref="B15:B16"/>
    <mergeCell ref="B17:B18"/>
    <mergeCell ref="B19:B20"/>
    <mergeCell ref="B21:B22"/>
    <mergeCell ref="B23:B24"/>
    <mergeCell ref="B25:B26"/>
    <mergeCell ref="I17:I18"/>
    <mergeCell ref="G11:G12"/>
    <mergeCell ref="G13:G14"/>
    <mergeCell ref="B4:C4"/>
    <mergeCell ref="D4:J4"/>
    <mergeCell ref="B7:C7"/>
    <mergeCell ref="D7:J7"/>
    <mergeCell ref="B6:C6"/>
    <mergeCell ref="D6:J6"/>
    <mergeCell ref="C65:C66"/>
    <mergeCell ref="F65:F66"/>
    <mergeCell ref="G65:G66"/>
    <mergeCell ref="H65:H66"/>
    <mergeCell ref="I65:I66"/>
    <mergeCell ref="C57:C58"/>
    <mergeCell ref="C59:C60"/>
    <mergeCell ref="C61:C62"/>
    <mergeCell ref="C63:C64"/>
    <mergeCell ref="H59:H60"/>
    <mergeCell ref="H61:H62"/>
    <mergeCell ref="H63:H64"/>
    <mergeCell ref="I57:I58"/>
    <mergeCell ref="I59:I60"/>
    <mergeCell ref="H57:H58"/>
    <mergeCell ref="F59:F60"/>
    <mergeCell ref="B84:D87"/>
    <mergeCell ref="E84:G87"/>
    <mergeCell ref="G77:G79"/>
    <mergeCell ref="H77:H79"/>
    <mergeCell ref="H83:J83"/>
    <mergeCell ref="B83:D83"/>
    <mergeCell ref="E83:G83"/>
    <mergeCell ref="H84:J87"/>
    <mergeCell ref="F77:F79"/>
    <mergeCell ref="E77:E79"/>
    <mergeCell ref="I77:I79"/>
    <mergeCell ref="F71:F72"/>
    <mergeCell ref="G63:G64"/>
    <mergeCell ref="B69:B70"/>
    <mergeCell ref="C69:C70"/>
    <mergeCell ref="H69:H70"/>
    <mergeCell ref="I69:I70"/>
    <mergeCell ref="F69:F70"/>
    <mergeCell ref="G69:G70"/>
    <mergeCell ref="B59:B60"/>
    <mergeCell ref="F61:F62"/>
    <mergeCell ref="C71:C72"/>
    <mergeCell ref="G71:G72"/>
    <mergeCell ref="H71:H72"/>
    <mergeCell ref="I71:I72"/>
    <mergeCell ref="B71:B72"/>
    <mergeCell ref="H67:H68"/>
    <mergeCell ref="G59:G60"/>
    <mergeCell ref="G61:G62"/>
    <mergeCell ref="F63:F64"/>
    <mergeCell ref="C67:C68"/>
    <mergeCell ref="F67:F68"/>
    <mergeCell ref="G67:G68"/>
    <mergeCell ref="B67:B68"/>
    <mergeCell ref="B65:B66"/>
    <mergeCell ref="K84:M87"/>
    <mergeCell ref="N84:P87"/>
    <mergeCell ref="Q84:R87"/>
    <mergeCell ref="M77:M79"/>
    <mergeCell ref="J64:M64"/>
    <mergeCell ref="J65:M65"/>
    <mergeCell ref="N64:R64"/>
    <mergeCell ref="L77:L79"/>
    <mergeCell ref="J77:J79"/>
    <mergeCell ref="K77:K79"/>
    <mergeCell ref="K83:M83"/>
    <mergeCell ref="N83:P83"/>
    <mergeCell ref="N65:R65"/>
    <mergeCell ref="J66:M66"/>
    <mergeCell ref="Q83:R83"/>
    <mergeCell ref="J67:M67"/>
    <mergeCell ref="N67:R67"/>
    <mergeCell ref="J68:M68"/>
    <mergeCell ref="N68:R68"/>
    <mergeCell ref="N77:N79"/>
    <mergeCell ref="O77:O79"/>
    <mergeCell ref="J69:M69"/>
    <mergeCell ref="N66:R66"/>
    <mergeCell ref="B61:B62"/>
    <mergeCell ref="B63:B64"/>
    <mergeCell ref="F15:F16"/>
    <mergeCell ref="J61:M61"/>
    <mergeCell ref="N55:R55"/>
    <mergeCell ref="N56:R56"/>
    <mergeCell ref="N57:R57"/>
    <mergeCell ref="N58:R58"/>
    <mergeCell ref="N59:R59"/>
    <mergeCell ref="N39:R39"/>
    <mergeCell ref="J59:M59"/>
    <mergeCell ref="J55:M55"/>
    <mergeCell ref="J56:M56"/>
    <mergeCell ref="N53:R53"/>
    <mergeCell ref="J40:M40"/>
    <mergeCell ref="J45:M45"/>
    <mergeCell ref="J46:M46"/>
    <mergeCell ref="J41:M41"/>
    <mergeCell ref="J44:M44"/>
    <mergeCell ref="J53:M53"/>
    <mergeCell ref="J49:M49"/>
    <mergeCell ref="B53:B54"/>
    <mergeCell ref="B55:B56"/>
    <mergeCell ref="J62:M62"/>
    <mergeCell ref="N60:R60"/>
    <mergeCell ref="N61:R61"/>
    <mergeCell ref="N62:R62"/>
    <mergeCell ref="N63:R63"/>
    <mergeCell ref="J63:M63"/>
    <mergeCell ref="I47:I48"/>
    <mergeCell ref="I53:I54"/>
    <mergeCell ref="I51:I52"/>
    <mergeCell ref="I55:I56"/>
    <mergeCell ref="B57:B58"/>
    <mergeCell ref="F57:F58"/>
    <mergeCell ref="G57:G58"/>
    <mergeCell ref="J50:M50"/>
    <mergeCell ref="N54:R54"/>
    <mergeCell ref="J47:M47"/>
    <mergeCell ref="J48:M48"/>
    <mergeCell ref="J54:M54"/>
    <mergeCell ref="J51:M51"/>
    <mergeCell ref="C53:C54"/>
    <mergeCell ref="C55:C56"/>
    <mergeCell ref="B47:B48"/>
    <mergeCell ref="J52:M52"/>
    <mergeCell ref="B49:B50"/>
    <mergeCell ref="F51:F52"/>
    <mergeCell ref="F47:F48"/>
    <mergeCell ref="F55:F56"/>
    <mergeCell ref="F49:F50"/>
    <mergeCell ref="F53:F54"/>
    <mergeCell ref="G55:G56"/>
    <mergeCell ref="G53:G54"/>
    <mergeCell ref="G51:G52"/>
    <mergeCell ref="G49:G50"/>
    <mergeCell ref="H49:H50"/>
    <mergeCell ref="I67:I68"/>
    <mergeCell ref="I61:I62"/>
    <mergeCell ref="I63:I64"/>
    <mergeCell ref="J58:M58"/>
    <mergeCell ref="J57:M57"/>
    <mergeCell ref="J25:M25"/>
    <mergeCell ref="J24:M24"/>
    <mergeCell ref="J18:M18"/>
    <mergeCell ref="I41:I42"/>
    <mergeCell ref="I39:I40"/>
    <mergeCell ref="I23:I24"/>
    <mergeCell ref="I21:I22"/>
    <mergeCell ref="I29:I30"/>
    <mergeCell ref="I31:I32"/>
    <mergeCell ref="I45:I46"/>
    <mergeCell ref="I37:I38"/>
    <mergeCell ref="I43:I44"/>
    <mergeCell ref="I33:I34"/>
    <mergeCell ref="G21:G22"/>
    <mergeCell ref="H21:H22"/>
    <mergeCell ref="K8:K9"/>
    <mergeCell ref="L8:L9"/>
    <mergeCell ref="M8:M9"/>
    <mergeCell ref="J16:M16"/>
    <mergeCell ref="F17:F18"/>
    <mergeCell ref="H11:H12"/>
    <mergeCell ref="I11:I12"/>
    <mergeCell ref="I13:I14"/>
    <mergeCell ref="I15:I16"/>
    <mergeCell ref="G15:G16"/>
    <mergeCell ref="J10:M10"/>
    <mergeCell ref="F11:F12"/>
    <mergeCell ref="D8:J8"/>
    <mergeCell ref="B8:C8"/>
    <mergeCell ref="J15:M15"/>
    <mergeCell ref="J14:M14"/>
    <mergeCell ref="J13:M13"/>
    <mergeCell ref="J12:M12"/>
    <mergeCell ref="J11:M11"/>
    <mergeCell ref="I27:I28"/>
    <mergeCell ref="I19:I20"/>
    <mergeCell ref="C11:C12"/>
    <mergeCell ref="C13:C14"/>
    <mergeCell ref="C15:C16"/>
    <mergeCell ref="C17:C18"/>
    <mergeCell ref="C19:C20"/>
    <mergeCell ref="G23:G24"/>
    <mergeCell ref="H23:H24"/>
    <mergeCell ref="F23:F24"/>
    <mergeCell ref="H13:H14"/>
    <mergeCell ref="H15:H16"/>
    <mergeCell ref="F13:F14"/>
    <mergeCell ref="G17:G18"/>
    <mergeCell ref="F19:F20"/>
    <mergeCell ref="H17:H18"/>
    <mergeCell ref="G19:G20"/>
    <mergeCell ref="F21:F22"/>
  </mergeCells>
  <conditionalFormatting sqref="F67:I72">
    <cfRule type="cellIs" dxfId="61" priority="68" operator="equal">
      <formula>0</formula>
    </cfRule>
  </conditionalFormatting>
  <conditionalFormatting sqref="F11:I14 F11:F70 F13:G72">
    <cfRule type="cellIs" dxfId="60" priority="61" operator="equal">
      <formula>0</formula>
    </cfRule>
  </conditionalFormatting>
  <conditionalFormatting sqref="F15:I18">
    <cfRule type="cellIs" dxfId="59" priority="60" operator="equal">
      <formula>0</formula>
    </cfRule>
  </conditionalFormatting>
  <conditionalFormatting sqref="F19:I28">
    <cfRule type="cellIs" dxfId="58" priority="59" operator="equal">
      <formula>0</formula>
    </cfRule>
  </conditionalFormatting>
  <conditionalFormatting sqref="F33:I40">
    <cfRule type="cellIs" dxfId="57" priority="58" operator="equal">
      <formula>0</formula>
    </cfRule>
  </conditionalFormatting>
  <conditionalFormatting sqref="F47:I56">
    <cfRule type="cellIs" dxfId="56" priority="57" operator="equal">
      <formula>0</formula>
    </cfRule>
  </conditionalFormatting>
  <conditionalFormatting sqref="F61:I66">
    <cfRule type="cellIs" dxfId="55" priority="56" operator="equal">
      <formula>0</formula>
    </cfRule>
  </conditionalFormatting>
  <conditionalFormatting sqref="F29:I32">
    <cfRule type="cellIs" dxfId="54" priority="55" operator="equal">
      <formula>0</formula>
    </cfRule>
  </conditionalFormatting>
  <conditionalFormatting sqref="F45:G45 H41:H46 F41:G43 I41:I43 I45">
    <cfRule type="cellIs" dxfId="53" priority="54" operator="equal">
      <formula>0</formula>
    </cfRule>
  </conditionalFormatting>
  <conditionalFormatting sqref="F57:I60">
    <cfRule type="cellIs" dxfId="52" priority="53" operator="equal">
      <formula>0</formula>
    </cfRule>
  </conditionalFormatting>
  <conditionalFormatting sqref="F77:F79">
    <cfRule type="expression" dxfId="51" priority="52">
      <formula>$U$72=0</formula>
    </cfRule>
  </conditionalFormatting>
  <conditionalFormatting sqref="F29:I32">
    <cfRule type="cellIs" dxfId="50" priority="51" operator="equal">
      <formula>0</formula>
    </cfRule>
  </conditionalFormatting>
  <conditionalFormatting sqref="F43:I46">
    <cfRule type="cellIs" dxfId="49" priority="50" operator="equal">
      <formula>0</formula>
    </cfRule>
  </conditionalFormatting>
  <conditionalFormatting sqref="F43:I46">
    <cfRule type="cellIs" dxfId="48" priority="49" operator="equal">
      <formula>0</formula>
    </cfRule>
  </conditionalFormatting>
  <conditionalFormatting sqref="F59:G59 H57:H60 F57:G57 I57 I59">
    <cfRule type="cellIs" dxfId="47" priority="48" operator="equal">
      <formula>0</formula>
    </cfRule>
  </conditionalFormatting>
  <conditionalFormatting sqref="F57:I60">
    <cfRule type="cellIs" dxfId="46" priority="47" operator="equal">
      <formula>0</formula>
    </cfRule>
  </conditionalFormatting>
  <conditionalFormatting sqref="F57:I60">
    <cfRule type="cellIs" dxfId="45" priority="46" operator="equal">
      <formula>0</formula>
    </cfRule>
  </conditionalFormatting>
  <conditionalFormatting sqref="F69:I72">
    <cfRule type="cellIs" dxfId="44" priority="45" operator="equal">
      <formula>0</formula>
    </cfRule>
  </conditionalFormatting>
  <conditionalFormatting sqref="H69:H72 F69:G69 I69 I71 F71:G71">
    <cfRule type="cellIs" dxfId="43" priority="44" operator="equal">
      <formula>0</formula>
    </cfRule>
  </conditionalFormatting>
  <conditionalFormatting sqref="F69:I72">
    <cfRule type="cellIs" dxfId="42" priority="43" operator="equal">
      <formula>0</formula>
    </cfRule>
  </conditionalFormatting>
  <conditionalFormatting sqref="F69:I72">
    <cfRule type="cellIs" dxfId="41" priority="42" operator="equal">
      <formula>0</formula>
    </cfRule>
  </conditionalFormatting>
  <conditionalFormatting sqref="F19:I28">
    <cfRule type="cellIs" dxfId="40" priority="41" operator="equal">
      <formula>0</formula>
    </cfRule>
  </conditionalFormatting>
  <conditionalFormatting sqref="F33:I42">
    <cfRule type="cellIs" dxfId="39" priority="40" operator="equal">
      <formula>0</formula>
    </cfRule>
  </conditionalFormatting>
  <conditionalFormatting sqref="F61:I68">
    <cfRule type="cellIs" dxfId="38" priority="39" operator="equal">
      <formula>0</formula>
    </cfRule>
  </conditionalFormatting>
  <conditionalFormatting sqref="F69:F70">
    <cfRule type="cellIs" dxfId="37" priority="38" operator="equal">
      <formula>0</formula>
    </cfRule>
  </conditionalFormatting>
  <conditionalFormatting sqref="F69">
    <cfRule type="cellIs" dxfId="36" priority="37" operator="equal">
      <formula>0</formula>
    </cfRule>
  </conditionalFormatting>
  <conditionalFormatting sqref="F69:F70">
    <cfRule type="cellIs" dxfId="35" priority="36" operator="equal">
      <formula>0</formula>
    </cfRule>
  </conditionalFormatting>
  <conditionalFormatting sqref="F69:F70">
    <cfRule type="cellIs" dxfId="34" priority="35" operator="equal">
      <formula>0</formula>
    </cfRule>
  </conditionalFormatting>
  <conditionalFormatting sqref="F71:F72">
    <cfRule type="cellIs" dxfId="33" priority="34" operator="equal">
      <formula>0</formula>
    </cfRule>
  </conditionalFormatting>
  <conditionalFormatting sqref="F71">
    <cfRule type="cellIs" dxfId="32" priority="33" operator="equal">
      <formula>0</formula>
    </cfRule>
  </conditionalFormatting>
  <conditionalFormatting sqref="F71:F72">
    <cfRule type="cellIs" dxfId="31" priority="32" operator="equal">
      <formula>0</formula>
    </cfRule>
  </conditionalFormatting>
  <conditionalFormatting sqref="F71:F72">
    <cfRule type="cellIs" dxfId="30" priority="31" operator="equal">
      <formula>0</formula>
    </cfRule>
  </conditionalFormatting>
  <conditionalFormatting sqref="F19:F20">
    <cfRule type="cellIs" dxfId="29" priority="30" operator="equal">
      <formula>0</formula>
    </cfRule>
  </conditionalFormatting>
  <conditionalFormatting sqref="F21:F22">
    <cfRule type="cellIs" dxfId="28" priority="29" operator="equal">
      <formula>0</formula>
    </cfRule>
  </conditionalFormatting>
  <conditionalFormatting sqref="F23:F24">
    <cfRule type="cellIs" dxfId="27" priority="28" operator="equal">
      <formula>0</formula>
    </cfRule>
  </conditionalFormatting>
  <conditionalFormatting sqref="F11:F72">
    <cfRule type="cellIs" dxfId="26" priority="27" operator="equal">
      <formula>0</formula>
    </cfRule>
  </conditionalFormatting>
  <conditionalFormatting sqref="F13:F14">
    <cfRule type="cellIs" dxfId="25" priority="26" operator="equal">
      <formula>0</formula>
    </cfRule>
  </conditionalFormatting>
  <conditionalFormatting sqref="F25:F26">
    <cfRule type="cellIs" dxfId="24" priority="25" operator="equal">
      <formula>0</formula>
    </cfRule>
  </conditionalFormatting>
  <conditionalFormatting sqref="F27:F28">
    <cfRule type="cellIs" dxfId="23" priority="24" operator="equal">
      <formula>0</formula>
    </cfRule>
  </conditionalFormatting>
  <conditionalFormatting sqref="F29:F30">
    <cfRule type="cellIs" dxfId="22" priority="23" operator="equal">
      <formula>0</formula>
    </cfRule>
  </conditionalFormatting>
  <conditionalFormatting sqref="F31:F32">
    <cfRule type="cellIs" dxfId="21" priority="22" operator="equal">
      <formula>0</formula>
    </cfRule>
  </conditionalFormatting>
  <conditionalFormatting sqref="F33:F34">
    <cfRule type="cellIs" dxfId="20" priority="21" operator="equal">
      <formula>0</formula>
    </cfRule>
  </conditionalFormatting>
  <conditionalFormatting sqref="F35:F36">
    <cfRule type="cellIs" dxfId="19" priority="20" operator="equal">
      <formula>0</formula>
    </cfRule>
  </conditionalFormatting>
  <conditionalFormatting sqref="F37:F38">
    <cfRule type="cellIs" dxfId="18" priority="19" operator="equal">
      <formula>0</formula>
    </cfRule>
  </conditionalFormatting>
  <conditionalFormatting sqref="F39:F40">
    <cfRule type="cellIs" dxfId="17" priority="18" operator="equal">
      <formula>0</formula>
    </cfRule>
  </conditionalFormatting>
  <conditionalFormatting sqref="F41:F42">
    <cfRule type="cellIs" dxfId="16" priority="17" operator="equal">
      <formula>0</formula>
    </cfRule>
  </conditionalFormatting>
  <conditionalFormatting sqref="F43:F44">
    <cfRule type="cellIs" dxfId="15" priority="16" operator="equal">
      <formula>0</formula>
    </cfRule>
  </conditionalFormatting>
  <conditionalFormatting sqref="F45:F46">
    <cfRule type="cellIs" dxfId="14" priority="15" operator="equal">
      <formula>0</formula>
    </cfRule>
  </conditionalFormatting>
  <conditionalFormatting sqref="F47:F48">
    <cfRule type="cellIs" dxfId="13" priority="14" operator="equal">
      <formula>0</formula>
    </cfRule>
  </conditionalFormatting>
  <conditionalFormatting sqref="F49:F50">
    <cfRule type="cellIs" dxfId="12" priority="13" operator="equal">
      <formula>0</formula>
    </cfRule>
  </conditionalFormatting>
  <conditionalFormatting sqref="F51:F52">
    <cfRule type="cellIs" dxfId="11" priority="12" operator="equal">
      <formula>0</formula>
    </cfRule>
  </conditionalFormatting>
  <conditionalFormatting sqref="F53:F54">
    <cfRule type="cellIs" dxfId="10" priority="11" operator="equal">
      <formula>0</formula>
    </cfRule>
  </conditionalFormatting>
  <conditionalFormatting sqref="F55:F56">
    <cfRule type="cellIs" dxfId="9" priority="10" operator="equal">
      <formula>0</formula>
    </cfRule>
  </conditionalFormatting>
  <conditionalFormatting sqref="F57:F58">
    <cfRule type="cellIs" dxfId="8" priority="9" operator="equal">
      <formula>0</formula>
    </cfRule>
  </conditionalFormatting>
  <conditionalFormatting sqref="F59:F60">
    <cfRule type="cellIs" dxfId="7" priority="8" operator="equal">
      <formula>0</formula>
    </cfRule>
  </conditionalFormatting>
  <conditionalFormatting sqref="F61:F62">
    <cfRule type="cellIs" dxfId="6" priority="7" operator="equal">
      <formula>0</formula>
    </cfRule>
  </conditionalFormatting>
  <conditionalFormatting sqref="F63:F64">
    <cfRule type="cellIs" dxfId="5" priority="6" operator="equal">
      <formula>0</formula>
    </cfRule>
  </conditionalFormatting>
  <conditionalFormatting sqref="F65:F66">
    <cfRule type="cellIs" dxfId="4" priority="5" operator="equal">
      <formula>0</formula>
    </cfRule>
  </conditionalFormatting>
  <conditionalFormatting sqref="F67:F68">
    <cfRule type="cellIs" dxfId="3" priority="4" operator="equal">
      <formula>0</formula>
    </cfRule>
  </conditionalFormatting>
  <conditionalFormatting sqref="F69:F70">
    <cfRule type="cellIs" dxfId="2" priority="3" operator="equal">
      <formula>0</formula>
    </cfRule>
  </conditionalFormatting>
  <conditionalFormatting sqref="F71:F72">
    <cfRule type="cellIs" dxfId="1" priority="2" operator="equal">
      <formula>0</formula>
    </cfRule>
  </conditionalFormatting>
  <conditionalFormatting sqref="F71:F72">
    <cfRule type="cellIs" dxfId="0" priority="1" operator="equal">
      <formula>0</formula>
    </cfRule>
  </conditionalFormatting>
  <dataValidations count="2">
    <dataValidation type="time" allowBlank="1" showInputMessage="1" showErrorMessage="1" errorTitle="Error Time Format" error="Please type times in (hh:mm) format" sqref="D11:E72" xr:uid="{00000000-0002-0000-0300-000000000000}">
      <formula1>0</formula1>
      <formula2>0.999305555555556</formula2>
    </dataValidation>
    <dataValidation type="list" allowBlank="1" showInputMessage="1" showErrorMessage="1" sqref="D5:J5" xr:uid="{00000000-0002-0000-0300-000001000000}">
      <formula1>$U$3:$U$6</formula1>
    </dataValidation>
  </dataValidations>
  <pageMargins left="0.70866141732283472" right="0.70866141732283472" top="0.74803149606299213" bottom="0" header="0.31496062992125984" footer="0.31496062992125984"/>
  <pageSetup paperSize="9" scale="49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300-000004000000}">
          <x14:formula1>
            <xm:f>List!H$4:H$10</xm:f>
          </x14:formula1>
          <xm:sqref>J27:M30 J41:M44 J55:M58 J69:M72 J13:M16</xm:sqref>
        </x14:dataValidation>
        <x14:dataValidation type="list" allowBlank="1" showInputMessage="1" showErrorMessage="1" xr:uid="{00000000-0002-0000-0300-000005000000}">
          <x14:formula1>
            <xm:f>List!G$4:G$14</xm:f>
          </x14:formula1>
          <xm:sqref>J59:M68 J45:M54 J31:M40 J11:M12 J17:M26</xm:sqref>
        </x14:dataValidation>
        <x14:dataValidation type="list" allowBlank="1" showInputMessage="1" showErrorMessage="1" xr:uid="{00000000-0002-0000-0300-000008000000}">
          <x14:formula1>
            <xm:f>List!G$3:G$14</xm:f>
          </x14:formula1>
          <xm:sqref>J27:J30 J41:J44 J55:J58 J69:J72 J13:J16</xm:sqref>
        </x14:dataValidation>
        <x14:dataValidation type="list" allowBlank="1" showInputMessage="1" showErrorMessage="1" xr:uid="{00000000-0002-0000-0300-000009000000}">
          <x14:formula1>
            <xm:f>List!H$3:H$10</xm:f>
          </x14:formula1>
          <xm:sqref>J59:J68 J45:J54 J31:J40 J11:J12 J17:J26</xm:sqref>
        </x14:dataValidation>
        <x14:dataValidation type="list" allowBlank="1" showInputMessage="1" showErrorMessage="1" xr:uid="{00000000-0002-0000-0300-00000A000000}">
          <x14:formula1>
            <xm:f>List!D$4:D$6</xm:f>
          </x14:formula1>
          <xm:sqref>G11:G72</xm:sqref>
        </x14:dataValidation>
        <x14:dataValidation type="list" allowBlank="1" showInputMessage="1" showErrorMessage="1" xr:uid="{00000000-0002-0000-0300-000003000000}">
          <x14:formula1>
            <xm:f>List!C$4:C$5</xm:f>
          </x14:formula1>
          <xm:sqref>D6:J6</xm:sqref>
        </x14:dataValidation>
        <x14:dataValidation type="list" allowBlank="1" showInputMessage="1" showErrorMessage="1" xr:uid="{00000000-0002-0000-0300-000007000000}">
          <x14:formula1>
            <xm:f>List!C$3:C$5</xm:f>
          </x14:formula1>
          <xm:sqref>D6</xm:sqref>
        </x14:dataValidation>
        <x14:dataValidation type="list" allowBlank="1" showInputMessage="1" showErrorMessage="1" xr:uid="{00000000-0002-0000-0300-000002000000}">
          <x14:formula1>
            <xm:f>List!B$3:B$79</xm:f>
          </x14:formula1>
          <xm:sqref>D2:J2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B2:X88"/>
  <sheetViews>
    <sheetView showGridLines="0" showZeros="0" view="pageLayout" zoomScale="80" zoomScaleNormal="90" zoomScalePageLayoutView="80" workbookViewId="0">
      <selection activeCell="B3" sqref="B3"/>
    </sheetView>
  </sheetViews>
  <sheetFormatPr defaultColWidth="9.1796875" defaultRowHeight="14.5" x14ac:dyDescent="0.35"/>
  <cols>
    <col min="1" max="1" width="3.54296875" style="10" customWidth="1"/>
    <col min="2" max="2" width="14" style="10" customWidth="1"/>
    <col min="3" max="3" width="9.7265625" style="10" customWidth="1"/>
    <col min="4" max="4" width="11.26953125" style="10" customWidth="1"/>
    <col min="5" max="5" width="10.54296875" style="10" customWidth="1"/>
    <col min="6" max="7" width="10.7265625" style="10" customWidth="1"/>
    <col min="8" max="8" width="10.81640625" style="10" customWidth="1"/>
    <col min="9" max="9" width="17.26953125" style="10" customWidth="1"/>
    <col min="10" max="10" width="9.81640625" style="10" customWidth="1"/>
    <col min="11" max="11" width="10.54296875" style="10" customWidth="1"/>
    <col min="12" max="12" width="9.1796875" style="10" customWidth="1"/>
    <col min="13" max="13" width="9.26953125" style="10" customWidth="1"/>
    <col min="14" max="14" width="7.54296875" style="10" customWidth="1"/>
    <col min="15" max="15" width="9.7265625" style="10" customWidth="1"/>
    <col min="16" max="16" width="6.81640625" style="10" customWidth="1"/>
    <col min="17" max="17" width="5.81640625" style="10" customWidth="1"/>
    <col min="18" max="18" width="8.453125" style="10" bestFit="1" customWidth="1"/>
    <col min="19" max="20" width="9.7265625" style="10" customWidth="1"/>
    <col min="21" max="21" width="9.26953125" style="10" customWidth="1"/>
    <col min="22" max="16384" width="9.1796875" style="10"/>
  </cols>
  <sheetData>
    <row r="2" spans="2:21" ht="15" customHeight="1" x14ac:dyDescent="0.35">
      <c r="D2" s="122" t="s">
        <v>0</v>
      </c>
      <c r="E2" s="122"/>
      <c r="F2" s="94">
        <f>'Timesheet-Regular'!D2</f>
        <v>0</v>
      </c>
      <c r="G2" s="95"/>
      <c r="H2" s="95"/>
      <c r="I2" s="95"/>
      <c r="J2" s="95"/>
      <c r="K2" s="95"/>
      <c r="L2" s="95"/>
      <c r="M2" s="96"/>
      <c r="N2" s="11"/>
      <c r="O2" s="11"/>
      <c r="P2" s="11"/>
      <c r="S2" s="12"/>
      <c r="T2" s="12"/>
    </row>
    <row r="3" spans="2:21" ht="15" customHeight="1" x14ac:dyDescent="0.35">
      <c r="D3" s="122" t="s">
        <v>1</v>
      </c>
      <c r="E3" s="122"/>
      <c r="F3" s="227">
        <f>'Timesheet-Regular'!D3</f>
        <v>0</v>
      </c>
      <c r="G3" s="228"/>
      <c r="H3" s="228"/>
      <c r="I3" s="228"/>
      <c r="J3" s="228"/>
      <c r="K3" s="228"/>
      <c r="L3" s="228"/>
      <c r="M3" s="229"/>
      <c r="S3" s="12"/>
      <c r="T3" s="12"/>
    </row>
    <row r="4" spans="2:21" ht="15" customHeight="1" x14ac:dyDescent="0.35">
      <c r="D4" s="122" t="s">
        <v>2</v>
      </c>
      <c r="E4" s="122"/>
      <c r="F4" s="227">
        <f>'Timesheet-Regular'!D4</f>
        <v>0</v>
      </c>
      <c r="G4" s="228"/>
      <c r="H4" s="228"/>
      <c r="I4" s="228"/>
      <c r="J4" s="228"/>
      <c r="K4" s="228"/>
      <c r="L4" s="228"/>
      <c r="M4" s="229"/>
      <c r="N4" s="14"/>
      <c r="S4" s="12"/>
      <c r="T4" s="12"/>
    </row>
    <row r="5" spans="2:21" ht="15" customHeight="1" x14ac:dyDescent="0.35">
      <c r="B5" s="11"/>
      <c r="D5" s="122" t="s">
        <v>3</v>
      </c>
      <c r="E5" s="122"/>
      <c r="F5" s="230">
        <f>'Timesheet-Regular'!D7</f>
        <v>44743</v>
      </c>
      <c r="G5" s="231"/>
      <c r="H5" s="231"/>
      <c r="I5" s="231"/>
      <c r="J5" s="231"/>
      <c r="K5" s="231"/>
      <c r="L5" s="231"/>
      <c r="M5" s="232"/>
      <c r="S5" s="12"/>
      <c r="T5" s="12"/>
    </row>
    <row r="6" spans="2:21" ht="15" customHeight="1" x14ac:dyDescent="0.35">
      <c r="B6" s="57"/>
      <c r="C6" s="15"/>
      <c r="D6" s="122" t="s">
        <v>220</v>
      </c>
      <c r="E6" s="122"/>
      <c r="F6" s="208">
        <f>'Timesheet-Regular'!D8</f>
        <v>0</v>
      </c>
      <c r="G6" s="209"/>
      <c r="H6" s="209"/>
      <c r="I6" s="209"/>
      <c r="J6" s="209"/>
      <c r="K6" s="209"/>
      <c r="L6" s="209"/>
      <c r="M6" s="210"/>
      <c r="N6" s="58"/>
      <c r="S6" s="12"/>
      <c r="T6" s="12"/>
    </row>
    <row r="7" spans="2:21" ht="15" customHeight="1" x14ac:dyDescent="0.35">
      <c r="B7" s="57"/>
      <c r="C7" s="57"/>
      <c r="D7" s="16"/>
      <c r="E7" s="16"/>
      <c r="F7" s="16"/>
      <c r="G7" s="16"/>
      <c r="H7" s="16"/>
      <c r="I7" s="16"/>
      <c r="J7" s="16"/>
      <c r="K7" s="16"/>
      <c r="L7" s="59"/>
      <c r="M7" s="59"/>
      <c r="N7" s="58"/>
      <c r="O7" s="17"/>
      <c r="P7" s="17"/>
      <c r="Q7" s="17"/>
      <c r="R7" s="12"/>
      <c r="S7" s="12"/>
      <c r="T7" s="12"/>
    </row>
    <row r="8" spans="2:21" ht="46.5" x14ac:dyDescent="0.35">
      <c r="C8" s="120" t="s">
        <v>4</v>
      </c>
      <c r="D8" s="121" t="s">
        <v>5</v>
      </c>
      <c r="E8" s="120" t="s">
        <v>6</v>
      </c>
      <c r="F8" s="120" t="s">
        <v>7</v>
      </c>
      <c r="G8" s="120" t="s">
        <v>154</v>
      </c>
      <c r="H8" s="120" t="s">
        <v>146</v>
      </c>
      <c r="I8" s="120" t="s">
        <v>14</v>
      </c>
      <c r="J8" s="233" t="s">
        <v>15</v>
      </c>
      <c r="K8" s="233"/>
      <c r="L8" s="233"/>
      <c r="M8" s="233"/>
      <c r="N8" s="233"/>
      <c r="O8" s="233"/>
      <c r="P8" s="233"/>
      <c r="Q8" s="233"/>
      <c r="S8" s="76"/>
    </row>
    <row r="9" spans="2:21" ht="15" customHeight="1" x14ac:dyDescent="0.35">
      <c r="C9" s="154" t="str">
        <f>CHOOSE(WEEKDAY(D9),"Sunday","Monday","Tuesday","Wednesday","Thursday","Friday","Saturday")</f>
        <v>Friday</v>
      </c>
      <c r="D9" s="133">
        <f>F5</f>
        <v>44743</v>
      </c>
      <c r="E9" s="71">
        <f>IFERROR(IF(G9="Yes",Sheet2!B4,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,G10="Yes"),0,0)),"")</f>
        <v>0</v>
      </c>
      <c r="F9" s="71">
        <f>IFERROR(IF(E9=0,0,IF('OT Form'!G9="Yes",Sheet2!C4,0)),"")</f>
        <v>0</v>
      </c>
      <c r="G9" s="39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IF(IFERROR(VLOOKUP($F$2,List!$A$70:$A$104,1,0),"")='OT Form'!$F$2,"",IF(Sheet2!F4="Yes","Yes","")),
IF(OR(C9="Monday",C9="Tuesday",C9="Wednesday",C9="Thursday",C9="Friday"),IF(IFERROR(VLOOKUP($F$2,List!$A$4:$A$42,1,0),"")='OT Form'!$F$2,"",IF(Sheet2!F4="Yes","Yes",""))))</f>
        <v/>
      </c>
      <c r="H9" s="131">
        <f>IFERROR(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0,
IF($F$2="Seatech",
IF(AND(Sheet2!H4&gt;0,Sheet2!H4&lt;=8),8,
IF(AND(Sheet2!H4&gt;8,Sheet2!H4&lt;=16),16,
IF(AND(Sheet2!H4&gt;16,Sheet2!H4&lt;=24),24,""))),
IF($F$2="Rabobank",
IF(AND(Sheet2!F4="Yes",Sheet2!F5="No",Sheet2!D4&gt;0,Sheet2!D4&lt;=4),4,
IF(AND(Sheet2!F4="No",Sheet2!F5="Yes",Sheet2!D5&gt;0,Sheet2!D5&lt;=4),4,
IF(AND(Sheet2!F4="Yes",Sheet2!F5="Yes",Sheet2!H4&gt;0,Sheet2!H4&lt;=4),4,
IF(AND(Sheet2!F4="Yes",Sheet2!F5="",Sheet2!H4&gt;0,Sheet2!H4&lt;=4),4,
IF(AND(Sheet2!F4="",Sheet2!F5="Yes",Sheet2!H4&gt;0,Sheet2!H4&lt;=4),4,
IF(AND(Sheet2!F4="Yes",Sheet2!H4&gt;0,Sheet2!H4&lt;=4),4,
IF(AND(Sheet2!F4="Yes",Sheet2!F5="No",Sheet2!D4&gt;4,Sheet2!D4&lt;=8),8,
IF(AND(Sheet2!F4="No",Sheet2!F5="Yes",Sheet2!D5&gt;4,Sheet2!D5&lt;=8),8,
IF(AND(Sheet2!F4="Yes",Sheet2!F5="Yes",Sheet2!H4&gt;4,Sheet2!H4&lt;=8),8,
IF(AND(Sheet2!F4="",Sheet2!F5="Yes",Sheet2!D5&gt;4,Sheet2!D5&lt;=8),8,
IF(AND(Sheet2!F4="Yes",Sheet2!F5="",Sheet2!H4&gt;4,Sheet2!H4&lt;=8),8,
IF(AND(Sheet2!F4="Yes",Sheet2!D5&gt;4,Sheet2!D5&lt;=8),8,"")))))))))))),
SUM(IF(MINUTE(F9-E9)&gt;28,HOUR(F9-E9)+1,HOUR(F9-E9)),IF(MINUTE(F10-E10)&gt;28,HOUR(F10-E10)+1,HOUR(F10-E10)))))),"")</f>
        <v>0</v>
      </c>
      <c r="I9" s="206">
        <f>IFERROR(IF(E9=0,0,
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'Timesheet-Regular'!F11,0)),"")</f>
        <v>0</v>
      </c>
      <c r="J9" s="203"/>
      <c r="K9" s="204"/>
      <c r="L9" s="204"/>
      <c r="M9" s="204"/>
      <c r="N9" s="204"/>
      <c r="O9" s="204"/>
      <c r="P9" s="204"/>
      <c r="Q9" s="205"/>
      <c r="R9" s="11"/>
      <c r="S9" s="76"/>
      <c r="U9" s="69"/>
    </row>
    <row r="10" spans="2:21" ht="15" customHeight="1" x14ac:dyDescent="0.35">
      <c r="C10" s="155"/>
      <c r="D10" s="134"/>
      <c r="E10" s="71">
        <f>IFERROR(IF(G10="Yes",Sheet2!B5,0),"")</f>
        <v>0</v>
      </c>
      <c r="F10" s="71">
        <f>IFERROR(IF('OT Form'!G10="Yes",Sheet2!C5,0),"")</f>
        <v>0</v>
      </c>
      <c r="G10" s="39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IF(IFERROR(VLOOKUP($F$2,List!$A$70:$A$104,1,0),"")='OT Form'!$F$2,"",IF(Sheet2!F5="Yes","Yes","")),
IF(OR(C9="Monday",C9="Tuesday",C9="Wednesday",C9="Thursday",C9="Friday"),IF(IFERROR(VLOOKUP($F$2,List!$A$4:$A$42,1,0),"")='OT Form'!$F$2,"",IF(Sheet2!F5="Yes","Yes",""))))</f>
        <v/>
      </c>
      <c r="H10" s="132"/>
      <c r="I10" s="207"/>
      <c r="J10" s="203"/>
      <c r="K10" s="204"/>
      <c r="L10" s="204"/>
      <c r="M10" s="204"/>
      <c r="N10" s="204"/>
      <c r="O10" s="204"/>
      <c r="P10" s="204"/>
      <c r="Q10" s="205"/>
      <c r="R10" s="11"/>
      <c r="S10" s="76"/>
      <c r="U10" s="72"/>
    </row>
    <row r="11" spans="2:21" ht="15" customHeight="1" x14ac:dyDescent="0.35">
      <c r="C11" s="151" t="str">
        <f t="shared" ref="C11" si="0">CHOOSE(WEEKDAY(D11),"Sunday","Monday","Tuesday","Wednesday","Thursday","Friday","Saturday")</f>
        <v>Saturday</v>
      </c>
      <c r="D11" s="211">
        <f>D9+1</f>
        <v>44744</v>
      </c>
      <c r="E11" s="118">
        <f>IFERROR(IF(G11="Yes",Sheet2!B6,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,G12="Yes"),0,0)),"")</f>
        <v>0</v>
      </c>
      <c r="F11" s="118">
        <f>IFERROR(IF(E11=0,0,IF('OT Form'!G11="Yes",Sheet2!C6,0)),"")</f>
        <v>0</v>
      </c>
      <c r="G11" s="117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IF(IFERROR(VLOOKUP($F$2,List!$A$70:$A$104,1,0),"")='OT Form'!$F$2,"",IF(Sheet2!F6="Yes","Yes","")),
IF(OR(C11="Monday",C11="Tuesday",C11="Wednesday",C11="Thursday",C11="Friday"),IF(IFERROR(VLOOKUP($F$2,List!$A$4:$A$42,1,0),"")='OT Form'!$F$2,"",IF(Sheet2!F6="Yes","Yes",""))))</f>
        <v/>
      </c>
      <c r="H11" s="129">
        <f>IFERROR(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0,
IF($F$2="Seatech",
IF(AND(Sheet2!H6&gt;0,Sheet2!H6&lt;=8),8,
IF(AND(Sheet2!H6&gt;8,Sheet2!H6&lt;=16),16,
IF(AND(Sheet2!H6&gt;16,Sheet2!H6&lt;=24),24,""))),
IF($F$2="Rabobank",
IF(AND(Sheet2!F6="Yes",Sheet2!F7="No",Sheet2!D6&gt;0,Sheet2!D6&lt;=4),4,
IF(AND(Sheet2!F6="No",Sheet2!F7="Yes",Sheet2!D7&gt;0,Sheet2!D7&lt;=4),4,
IF(AND(Sheet2!F6="Yes",Sheet2!F7="Yes",Sheet2!H6&gt;0,Sheet2!H6&lt;=4),4,
IF(AND(Sheet2!F6="Yes",Sheet2!F7="",Sheet2!H6&gt;0,Sheet2!H6&lt;=4),4,
IF(AND(Sheet2!F6="",Sheet2!F7="Yes",Sheet2!H6&gt;0,Sheet2!H6&lt;=4),4,
IF(AND(Sheet2!F6="Yes",Sheet2!H6&gt;0,Sheet2!H6&lt;=4),4,
IF(AND(Sheet2!F6="Yes",Sheet2!F7="No",Sheet2!D6&gt;4,Sheet2!D6&lt;=8),8,
IF(AND(Sheet2!F6="No",Sheet2!F7="Yes",Sheet2!D7&gt;4,Sheet2!D7&lt;=8),8,
IF(AND(Sheet2!F6="Yes",Sheet2!F7="Yes",Sheet2!H6&gt;4,Sheet2!H6&lt;=8),8,
IF(AND(Sheet2!F6="",Sheet2!F7="Yes",Sheet2!D7&gt;4,Sheet2!D7&lt;=8),8,
IF(AND(Sheet2!F6="Yes",Sheet2!F7="",Sheet2!H6&gt;4,Sheet2!H6&lt;=8),8,
IF(AND(Sheet2!F6="Yes",Sheet2!D7&gt;4,Sheet2!D7&lt;=8),8,"")))))))))))),
SUM(IF(MINUTE(F11-E11)&gt;28,HOUR(F11-E11)+1,HOUR(F11-E11)),IF(MINUTE(F12-E12)&gt;28,HOUR(F12-E12)+1,HOUR(F12-E12)))))),"")</f>
        <v>0</v>
      </c>
      <c r="I11" s="213">
        <f>IFERROR(IF(E11=0,0,
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'Timesheet-Regular'!F13,0)),"")</f>
        <v>0</v>
      </c>
      <c r="J11" s="215"/>
      <c r="K11" s="216"/>
      <c r="L11" s="216"/>
      <c r="M11" s="216"/>
      <c r="N11" s="216"/>
      <c r="O11" s="216"/>
      <c r="P11" s="216"/>
      <c r="Q11" s="217"/>
      <c r="R11" s="11"/>
      <c r="S11" s="11"/>
      <c r="U11" s="69" t="s">
        <v>68</v>
      </c>
    </row>
    <row r="12" spans="2:21" ht="15" customHeight="1" x14ac:dyDescent="0.35">
      <c r="C12" s="152"/>
      <c r="D12" s="212"/>
      <c r="E12" s="118">
        <f>IFERROR(IF(G12="Yes",Sheet2!B7,0),"")</f>
        <v>0</v>
      </c>
      <c r="F12" s="118">
        <f>IFERROR(IF('OT Form'!G12="Yes",Sheet2!C7,0),"")</f>
        <v>0</v>
      </c>
      <c r="G12" s="117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IF(IFERROR(VLOOKUP($F$2,List!$A$70:$A$104,1,0),"")='OT Form'!$F$2,"",IF(Sheet2!F7="Yes","Yes","")),
IF(OR(C11="Monday",C11="Tuesday",C11="Wednesday",C11="Thursday",C11="Friday"),IF(IFERROR(VLOOKUP($F$2,List!$A$4:$A$42,1,0),"")='OT Form'!$F$2,"",IF(Sheet2!F7="Yes","Yes",""))))</f>
        <v/>
      </c>
      <c r="H12" s="130"/>
      <c r="I12" s="214"/>
      <c r="J12" s="215"/>
      <c r="K12" s="216"/>
      <c r="L12" s="216"/>
      <c r="M12" s="216"/>
      <c r="N12" s="216"/>
      <c r="O12" s="216"/>
      <c r="P12" s="216"/>
      <c r="Q12" s="217"/>
      <c r="R12" s="11"/>
      <c r="S12" s="11"/>
      <c r="U12" s="69" t="s">
        <v>69</v>
      </c>
    </row>
    <row r="13" spans="2:21" s="21" customFormat="1" ht="15" customHeight="1" x14ac:dyDescent="0.35">
      <c r="C13" s="151" t="str">
        <f t="shared" ref="C13" si="1">CHOOSE(WEEKDAY(D13),"Sunday","Monday","Tuesday","Wednesday","Thursday","Friday","Saturday")</f>
        <v>Sunday</v>
      </c>
      <c r="D13" s="211">
        <f t="shared" ref="D13" si="2">D11+1</f>
        <v>44745</v>
      </c>
      <c r="E13" s="118">
        <f>IFERROR(IF(G13="Yes",Sheet2!B8,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,G14="Yes"),0,0)),"")</f>
        <v>0</v>
      </c>
      <c r="F13" s="118">
        <f>IFERROR(IF(E13=0,0,IF('OT Form'!G13="Yes",Sheet2!C8,0)),"")</f>
        <v>0</v>
      </c>
      <c r="G13" s="117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IF(IFERROR(VLOOKUP($F$2,List!$A$70:$A$104,1,0),"")='OT Form'!$F$2,"",IF(Sheet2!F8="Yes","Yes","")),
IF(OR(C13="Monday",C13="Tuesday",C13="Wednesday",C13="Thursday",C13="Friday"),IF(IFERROR(VLOOKUP($F$2,List!$A$4:$A$42,1,0),"")='OT Form'!$F$2,"",IF(Sheet2!F8="Yes","Yes",""))))</f>
        <v/>
      </c>
      <c r="H13" s="129">
        <f>IFERROR(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0,
IF($F$2="Seatech",
IF(AND(Sheet2!H8&gt;0,Sheet2!H8&lt;=8),8,
IF(AND(Sheet2!H8&gt;8,Sheet2!H8&lt;=16),16,
IF(AND(Sheet2!H8&gt;16,Sheet2!H8&lt;=24),24,""))),
IF($F$2="Rabobank",
IF(AND(Sheet2!F8="Yes",Sheet2!F9="No",Sheet2!D8&gt;0,Sheet2!D8&lt;=4),4,
IF(AND(Sheet2!F8="No",Sheet2!F9="Yes",Sheet2!D9&gt;0,Sheet2!D9&lt;=4),4,
IF(AND(Sheet2!F8="Yes",Sheet2!F9="Yes",Sheet2!H8&gt;0,Sheet2!H8&lt;=4),4,
IF(AND(Sheet2!F8="Yes",Sheet2!F9="",Sheet2!H8&gt;0,Sheet2!H8&lt;=4),4,
IF(AND(Sheet2!F8="",Sheet2!F9="Yes",Sheet2!H8&gt;0,Sheet2!H8&lt;=4),4,
IF(AND(Sheet2!F8="Yes",Sheet2!H8&gt;0,Sheet2!H8&lt;=4),4,
IF(AND(Sheet2!F8="Yes",Sheet2!F9="No",Sheet2!D8&gt;4,Sheet2!D8&lt;=8),8,
IF(AND(Sheet2!F8="No",Sheet2!F9="Yes",Sheet2!D9&gt;4,Sheet2!D9&lt;=8),8,
IF(AND(Sheet2!F8="Yes",Sheet2!F9="Yes",Sheet2!H8&gt;4,Sheet2!H8&lt;=8),8,
IF(AND(Sheet2!F8="",Sheet2!F9="Yes",Sheet2!D9&gt;4,Sheet2!D9&lt;=8),8,
IF(AND(Sheet2!F8="Yes",Sheet2!F9="",Sheet2!H8&gt;4,Sheet2!H8&lt;=8),8,
IF(AND(Sheet2!F8="Yes",Sheet2!D9&gt;4,Sheet2!D9&lt;=8),8,"")))))))))))),
SUM(IF(MINUTE(F13-E13)&gt;28,HOUR(F13-E13)+1,HOUR(F13-E13)),IF(MINUTE(F14-E14)&gt;28,HOUR(F14-E14)+1,HOUR(F14-E14)))))),"")</f>
        <v>0</v>
      </c>
      <c r="I13" s="213">
        <f>IFERROR(IF(E13=0,0,
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'Timesheet-Regular'!F15,0)),"")</f>
        <v>0</v>
      </c>
      <c r="J13" s="215"/>
      <c r="K13" s="216"/>
      <c r="L13" s="216"/>
      <c r="M13" s="216"/>
      <c r="N13" s="216"/>
      <c r="O13" s="216"/>
      <c r="P13" s="216"/>
      <c r="Q13" s="217"/>
      <c r="R13" s="64"/>
      <c r="S13" s="64"/>
      <c r="U13" s="70"/>
    </row>
    <row r="14" spans="2:21" s="21" customFormat="1" ht="15" customHeight="1" x14ac:dyDescent="0.35">
      <c r="C14" s="152"/>
      <c r="D14" s="212"/>
      <c r="E14" s="118">
        <f>IFERROR(IF(G14="Yes",Sheet2!B9,0),"")</f>
        <v>0</v>
      </c>
      <c r="F14" s="118">
        <f>IFERROR(IF('OT Form'!G14="Yes",Sheet2!C9,0),"")</f>
        <v>0</v>
      </c>
      <c r="G14" s="117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IF(IFERROR(VLOOKUP($F$2,List!$A$70:$A$104,1,0),"")='OT Form'!$F$2,"",IF(Sheet2!F9="Yes","Yes","")),
IF(OR(C13="Monday",C13="Tuesday",C13="Wednesday",C13="Thursday",C13="Friday"),IF(IFERROR(VLOOKUP($F$2,List!$A$4:$A$42,1,0),"")='OT Form'!$F$2,"",IF(Sheet2!F9="Yes","Yes",""))))</f>
        <v/>
      </c>
      <c r="H14" s="130"/>
      <c r="I14" s="214"/>
      <c r="J14" s="215"/>
      <c r="K14" s="216"/>
      <c r="L14" s="216"/>
      <c r="M14" s="216"/>
      <c r="N14" s="216"/>
      <c r="O14" s="216"/>
      <c r="P14" s="216"/>
      <c r="Q14" s="217"/>
      <c r="R14" s="64"/>
      <c r="S14" s="64"/>
      <c r="T14" s="77"/>
    </row>
    <row r="15" spans="2:21" s="21" customFormat="1" ht="15" customHeight="1" x14ac:dyDescent="0.35">
      <c r="C15" s="154" t="str">
        <f t="shared" ref="C15" si="3">CHOOSE(WEEKDAY(D15),"Sunday","Monday","Tuesday","Wednesday","Thursday","Friday","Saturday")</f>
        <v>Monday</v>
      </c>
      <c r="D15" s="133">
        <f t="shared" ref="D15" si="4">D13+1</f>
        <v>44746</v>
      </c>
      <c r="E15" s="71">
        <f>IFERROR(IF(G15="Yes",Sheet2!B10,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,G16="Yes"),0,0)),"")</f>
        <v>0</v>
      </c>
      <c r="F15" s="71">
        <f>IFERROR(IF(E15=0,0,IF('OT Form'!G15="Yes",Sheet2!C10,0)),"")</f>
        <v>0</v>
      </c>
      <c r="G15" s="39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IF(IFERROR(VLOOKUP($F$2,List!$A$70:$A$104,1,0),"")='OT Form'!$F$2,"",IF(Sheet2!F10="Yes","Yes","")),
IF(OR(C15="Monday",C15="Tuesday",C15="Wednesday",C15="Thursday",C15="Friday"),IF(IFERROR(VLOOKUP($F$2,List!$A$4:$A$42,1,0),"")='OT Form'!$F$2,"",IF(Sheet2!F10="Yes","Yes",""))))</f>
        <v/>
      </c>
      <c r="H15" s="131">
        <f>IFERROR(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0,
IF($F$2="Seatech",
IF(AND(Sheet2!H10&gt;0,Sheet2!H10&lt;=8),8,
IF(AND(Sheet2!H10&gt;8,Sheet2!H10&lt;=16),16,
IF(AND(Sheet2!H10&gt;16,Sheet2!H10&lt;=24),24,""))),
IF($F$2="Rabobank",
IF(AND(Sheet2!F10="Yes",Sheet2!F11="No",Sheet2!D10&gt;0,Sheet2!D10&lt;=4),4,
IF(AND(Sheet2!F10="No",Sheet2!F11="Yes",Sheet2!D11&gt;0,Sheet2!D11&lt;=4),4,
IF(AND(Sheet2!F10="Yes",Sheet2!F11="Yes",Sheet2!H10&gt;0,Sheet2!H10&lt;=4),4,
IF(AND(Sheet2!F10="Yes",Sheet2!F11="",Sheet2!H10&gt;0,Sheet2!H10&lt;=4),4,
IF(AND(Sheet2!F10="",Sheet2!F11="Yes",Sheet2!H10&gt;0,Sheet2!H10&lt;=4),4,
IF(AND(Sheet2!F10="Yes",Sheet2!H10&gt;0,Sheet2!H10&lt;=4),4,
IF(AND(Sheet2!F10="Yes",Sheet2!F11="No",Sheet2!D10&gt;4,Sheet2!D10&lt;=8),8,
IF(AND(Sheet2!F10="No",Sheet2!F11="Yes",Sheet2!D11&gt;4,Sheet2!D11&lt;=8),8,
IF(AND(Sheet2!F10="Yes",Sheet2!F11="Yes",Sheet2!H10&gt;4,Sheet2!H10&lt;=8),8,
IF(AND(Sheet2!F10="",Sheet2!F11="Yes",Sheet2!D11&gt;4,Sheet2!D11&lt;=8),8,
IF(AND(Sheet2!F10="Yes",Sheet2!F11="",Sheet2!H10&gt;4,Sheet2!H10&lt;=8),8,
IF(AND(Sheet2!F10="Yes",Sheet2!D11&gt;4,Sheet2!D11&lt;=8),8,"")))))))))))),
SUM(IF(MINUTE(F15-E15)&gt;28,HOUR(F15-E15)+1,HOUR(F15-E15)),IF(MINUTE(F16-E16)&gt;28,HOUR(F16-E16)+1,HOUR(F16-E16)))))),"")</f>
        <v>0</v>
      </c>
      <c r="I15" s="206">
        <f>IFERROR(IF(E15=0,0,
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'Timesheet-Regular'!F17,0)),"")</f>
        <v>0</v>
      </c>
      <c r="J15" s="203"/>
      <c r="K15" s="204"/>
      <c r="L15" s="204"/>
      <c r="M15" s="204"/>
      <c r="N15" s="204"/>
      <c r="O15" s="204"/>
      <c r="P15" s="204"/>
      <c r="Q15" s="205"/>
      <c r="R15" s="64"/>
      <c r="S15" s="64"/>
    </row>
    <row r="16" spans="2:21" s="21" customFormat="1" ht="15" customHeight="1" x14ac:dyDescent="0.35">
      <c r="C16" s="155"/>
      <c r="D16" s="134"/>
      <c r="E16" s="71">
        <f>IFERROR(IF(G16="Yes",Sheet2!B11,0),"")</f>
        <v>0</v>
      </c>
      <c r="F16" s="71">
        <f>IFERROR(IF('OT Form'!G16="Yes",Sheet2!C11,0),"")</f>
        <v>0</v>
      </c>
      <c r="G16" s="39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IF(IFERROR(VLOOKUP($F$2,List!$A$70:$A$104,1,0),"")='OT Form'!$F$2,"",IF(Sheet2!F11="Yes","Yes","")),
IF(OR(C15="Monday",C15="Tuesday",C15="Wednesday",C15="Thursday",C15="Friday"),IF(IFERROR(VLOOKUP($F$2,List!$A$4:$A$42,1,0),"")='OT Form'!$F$2,"",IF(Sheet2!F11="Yes","Yes",""))))</f>
        <v/>
      </c>
      <c r="H16" s="132"/>
      <c r="I16" s="207"/>
      <c r="J16" s="203"/>
      <c r="K16" s="204"/>
      <c r="L16" s="204"/>
      <c r="M16" s="204"/>
      <c r="N16" s="204"/>
      <c r="O16" s="204"/>
      <c r="P16" s="204"/>
      <c r="Q16" s="205"/>
      <c r="S16" s="64"/>
    </row>
    <row r="17" spans="3:19" s="21" customFormat="1" ht="15" customHeight="1" x14ac:dyDescent="0.35">
      <c r="C17" s="154" t="str">
        <f t="shared" ref="C17" si="5">CHOOSE(WEEKDAY(D17),"Sunday","Monday","Tuesday","Wednesday","Thursday","Friday","Saturday")</f>
        <v>Tuesday</v>
      </c>
      <c r="D17" s="133">
        <f t="shared" ref="D17" si="6">D15+1</f>
        <v>44747</v>
      </c>
      <c r="E17" s="71">
        <f>IFERROR(IF(G17="Yes",Sheet2!B12,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,G18="Yes"),0,0)),"")</f>
        <v>0</v>
      </c>
      <c r="F17" s="71">
        <f>IFERROR(IF(E17=0,0,IF('OT Form'!G17="Yes",Sheet2!C12,0)),"")</f>
        <v>0</v>
      </c>
      <c r="G17" s="39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IF(IFERROR(VLOOKUP($F$2,List!$A$70:$A$104,1,0),"")='OT Form'!$F$2,"",IF(Sheet2!F12="Yes","Yes","")),
IF(OR(C17="Monday",C17="Tuesday",C17="Wednesday",C17="Thursday",C17="Friday"),IF(IFERROR(VLOOKUP($F$2,List!$A$4:$A$42,1,0),"")='OT Form'!$F$2,"",IF(Sheet2!F12="Yes","Yes",""))))</f>
        <v/>
      </c>
      <c r="H17" s="131">
        <f>IFERROR(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0,
IF($F$2="Seatech",
IF(AND(Sheet2!H12&gt;0,Sheet2!H12&lt;=8),8,
IF(AND(Sheet2!H12&gt;8,Sheet2!H12&lt;=16),16,
IF(AND(Sheet2!H12&gt;16,Sheet2!H12&lt;=24),24,""))),
IF($F$2="Rabobank",
IF(AND(Sheet2!F12="Yes",Sheet2!F13="No",Sheet2!D12&gt;0,Sheet2!D12&lt;=4),4,
IF(AND(Sheet2!F12="No",Sheet2!F13="Yes",Sheet2!D13&gt;0,Sheet2!D13&lt;=4),4,
IF(AND(Sheet2!F12="Yes",Sheet2!F13="Yes",Sheet2!H12&gt;0,Sheet2!H12&lt;=4),4,
IF(AND(Sheet2!F12="Yes",Sheet2!F13="",Sheet2!H12&gt;0,Sheet2!H12&lt;=4),4,
IF(AND(Sheet2!F12="",Sheet2!F13="Yes",Sheet2!H12&gt;0,Sheet2!H12&lt;=4),4,
IF(AND(Sheet2!F12="Yes",Sheet2!H12&gt;0,Sheet2!H12&lt;=4),4,
IF(AND(Sheet2!F12="Yes",Sheet2!F13="No",Sheet2!D12&gt;4,Sheet2!D12&lt;=8),8,
IF(AND(Sheet2!F12="No",Sheet2!F13="Yes",Sheet2!D13&gt;4,Sheet2!D13&lt;=8),8,
IF(AND(Sheet2!F12="Yes",Sheet2!F13="Yes",Sheet2!H12&gt;4,Sheet2!H12&lt;=8),8,
IF(AND(Sheet2!F12="",Sheet2!F13="Yes",Sheet2!D13&gt;4,Sheet2!D13&lt;=8),8,
IF(AND(Sheet2!F12="Yes",Sheet2!F13="",Sheet2!H12&gt;4,Sheet2!H12&lt;=8),8,
IF(AND(Sheet2!F12="Yes",Sheet2!D13&gt;4,Sheet2!D13&lt;=8),8,"")))))))))))),
SUM(IF(MINUTE(F17-E17)&gt;28,HOUR(F17-E17)+1,HOUR(F17-E17)),IF(MINUTE(F18-E18)&gt;28,HOUR(F18-E18)+1,HOUR(F18-E18)))))),"")</f>
        <v>0</v>
      </c>
      <c r="I17" s="206">
        <f>IFERROR(IF(E17=0,0,
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'Timesheet-Regular'!F19,0)),"")</f>
        <v>0</v>
      </c>
      <c r="J17" s="203"/>
      <c r="K17" s="204"/>
      <c r="L17" s="204"/>
      <c r="M17" s="204"/>
      <c r="N17" s="204"/>
      <c r="O17" s="204"/>
      <c r="P17" s="204"/>
      <c r="Q17" s="205"/>
      <c r="S17" s="11"/>
    </row>
    <row r="18" spans="3:19" s="21" customFormat="1" ht="15" customHeight="1" x14ac:dyDescent="0.35">
      <c r="C18" s="155"/>
      <c r="D18" s="134"/>
      <c r="E18" s="71">
        <f>IFERROR(IF(G18="Yes",Sheet2!B13,0),"")</f>
        <v>0</v>
      </c>
      <c r="F18" s="71">
        <f>IFERROR(IF('OT Form'!G18="Yes",Sheet2!C13,0),"")</f>
        <v>0</v>
      </c>
      <c r="G18" s="39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IF(IFERROR(VLOOKUP($F$2,List!$A$70:$A$104,1,0),"")='OT Form'!$F$2,"",IF(Sheet2!F13="Yes","Yes","")),
IF(OR(C17="Monday",C17="Tuesday",C17="Wednesday",C17="Thursday",C17="Friday"),IF(IFERROR(VLOOKUP($F$2,List!$A$4:$A$42,1,0),"")='OT Form'!$F$2,"",IF(Sheet2!F13="Yes","Yes",""))))</f>
        <v/>
      </c>
      <c r="H18" s="132"/>
      <c r="I18" s="207"/>
      <c r="J18" s="203"/>
      <c r="K18" s="204"/>
      <c r="L18" s="204"/>
      <c r="M18" s="204"/>
      <c r="N18" s="204"/>
      <c r="O18" s="204"/>
      <c r="P18" s="204"/>
      <c r="Q18" s="205"/>
      <c r="S18" s="11"/>
    </row>
    <row r="19" spans="3:19" s="21" customFormat="1" ht="15" customHeight="1" x14ac:dyDescent="0.35">
      <c r="C19" s="154" t="str">
        <f t="shared" ref="C19" si="7">CHOOSE(WEEKDAY(D19),"Sunday","Monday","Tuesday","Wednesday","Thursday","Friday","Saturday")</f>
        <v>Wednesday</v>
      </c>
      <c r="D19" s="133">
        <f t="shared" ref="D19" si="8">D17+1</f>
        <v>44748</v>
      </c>
      <c r="E19" s="71">
        <f>IFERROR(IF(G19="Yes",Sheet2!B14,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,G20="Yes"),0,0)),"")</f>
        <v>0</v>
      </c>
      <c r="F19" s="71">
        <f>IFERROR(IF(E19=0,0,IF('OT Form'!G19="Yes",Sheet2!C14,0)),"")</f>
        <v>0</v>
      </c>
      <c r="G19" s="39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IF(IFERROR(VLOOKUP($F$2,List!$A$70:$A$104,1,0),"")='OT Form'!$F$2,"",IF(Sheet2!F14="Yes","Yes","")),
IF(OR(C19="Monday",C19="Tuesday",C19="Wednesday",C19="Thursday",C19="Friday"),IF(IFERROR(VLOOKUP($F$2,List!$A$4:$A$42,1,0),"")='OT Form'!$F$2,"",IF(Sheet2!F14="Yes","Yes",""))))</f>
        <v/>
      </c>
      <c r="H19" s="131">
        <f>IFERROR(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0,
IF($F$2="Seatech",
IF(AND(Sheet2!H14&gt;0,Sheet2!H14&lt;=8),8,
IF(AND(Sheet2!H14&gt;8,Sheet2!H14&lt;=16),16,
IF(AND(Sheet2!H14&gt;16,Sheet2!H14&lt;=24),24,""))),
IF($F$2="Rabobank",
IF(AND(Sheet2!F14="Yes",Sheet2!F15="No",Sheet2!D14&gt;0,Sheet2!D14&lt;=4),4,
IF(AND(Sheet2!F14="No",Sheet2!F15="Yes",Sheet2!D15&gt;0,Sheet2!D15&lt;=4),4,
IF(AND(Sheet2!F14="Yes",Sheet2!F15="Yes",Sheet2!H14&gt;0,Sheet2!H14&lt;=4),4,
IF(AND(Sheet2!F14="Yes",Sheet2!F15="",Sheet2!H14&gt;0,Sheet2!H14&lt;=4),4,
IF(AND(Sheet2!F14="",Sheet2!F15="Yes",Sheet2!H14&gt;0,Sheet2!H14&lt;=4),4,
IF(AND(Sheet2!F14="Yes",Sheet2!H14&gt;0,Sheet2!H14&lt;=4),4,
IF(AND(Sheet2!F14="Yes",Sheet2!F15="No",Sheet2!D14&gt;4,Sheet2!D14&lt;=8),8,
IF(AND(Sheet2!F14="No",Sheet2!F15="Yes",Sheet2!D15&gt;4,Sheet2!D15&lt;=8),8,
IF(AND(Sheet2!F14="Yes",Sheet2!F15="Yes",Sheet2!H14&gt;4,Sheet2!H14&lt;=8),8,
IF(AND(Sheet2!F14="",Sheet2!F15="Yes",Sheet2!D15&gt;4,Sheet2!D15&lt;=8),8,
IF(AND(Sheet2!F14="Yes",Sheet2!F15="",Sheet2!H14&gt;4,Sheet2!H14&lt;=8),8,
IF(AND(Sheet2!F14="Yes",Sheet2!D15&gt;4,Sheet2!D15&lt;=8),8,"")))))))))))),
SUM(IF(MINUTE(F19-E19)&gt;28,HOUR(F19-E19)+1,HOUR(F19-E19)),IF(MINUTE(F20-E20)&gt;28,HOUR(F20-E20)+1,HOUR(F20-E20)))))),"")</f>
        <v>0</v>
      </c>
      <c r="I19" s="206">
        <f>IFERROR(IF(E19=0,0,
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'Timesheet-Regular'!F21,0)),"")</f>
        <v>0</v>
      </c>
      <c r="J19" s="203"/>
      <c r="K19" s="204"/>
      <c r="L19" s="204"/>
      <c r="M19" s="204"/>
      <c r="N19" s="204"/>
      <c r="O19" s="204"/>
      <c r="P19" s="204"/>
      <c r="Q19" s="205"/>
      <c r="S19" s="11"/>
    </row>
    <row r="20" spans="3:19" s="21" customFormat="1" ht="15" customHeight="1" x14ac:dyDescent="0.35">
      <c r="C20" s="155"/>
      <c r="D20" s="134"/>
      <c r="E20" s="71">
        <f>IFERROR(IF(G20="Yes",Sheet2!B15,0),"")</f>
        <v>0</v>
      </c>
      <c r="F20" s="71">
        <f>IFERROR(IF('OT Form'!G20="Yes",Sheet2!C15,0),"")</f>
        <v>0</v>
      </c>
      <c r="G20" s="39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IF(IFERROR(VLOOKUP($F$2,List!$A$70:$A$104,1,0),"")='OT Form'!$F$2,"",IF(Sheet2!F15="Yes","Yes","")),
IF(OR(C19="Monday",C19="Tuesday",C19="Wednesday",C19="Thursday",C19="Friday"),IF(IFERROR(VLOOKUP($F$2,List!$A$4:$A$42,1,0),"")='OT Form'!$F$2,"",IF(Sheet2!F15="Yes","Yes",""))))</f>
        <v/>
      </c>
      <c r="H20" s="132"/>
      <c r="I20" s="207"/>
      <c r="J20" s="203"/>
      <c r="K20" s="204"/>
      <c r="L20" s="204"/>
      <c r="M20" s="204"/>
      <c r="N20" s="204"/>
      <c r="O20" s="204"/>
      <c r="P20" s="204"/>
      <c r="Q20" s="205"/>
      <c r="S20" s="11"/>
    </row>
    <row r="21" spans="3:19" s="21" customFormat="1" ht="15" customHeight="1" x14ac:dyDescent="0.35">
      <c r="C21" s="154" t="str">
        <f>CHOOSE(WEEKDAY(D21),"Sunday","Monday","Tuesday","Wednesday","Thursday","Friday","Saturday")</f>
        <v>Thursday</v>
      </c>
      <c r="D21" s="133">
        <f t="shared" ref="D21" si="9">D19+1</f>
        <v>44749</v>
      </c>
      <c r="E21" s="71">
        <f>IFERROR(IF(G21="Yes",Sheet2!B16,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,G22="Yes"),0,0)),"")</f>
        <v>0</v>
      </c>
      <c r="F21" s="71">
        <f>IFERROR(IF(E21=0,0,IF('OT Form'!G21="Yes",Sheet2!C16,0)),"")</f>
        <v>0</v>
      </c>
      <c r="G21" s="39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IF(IFERROR(VLOOKUP($F$2,List!$A$70:$A$104,1,0),"")='OT Form'!$F$2,"",IF(Sheet2!F16="Yes","Yes","")),
IF(OR(C21="Monday",C21="Tuesday",C21="Wednesday",C21="Thursday",C21="Friday"),IF(IFERROR(VLOOKUP($F$2,List!$A$4:$A$42,1,0),"")='OT Form'!$F$2,"",IF(Sheet2!F16="Yes","Yes",""))))</f>
        <v/>
      </c>
      <c r="H21" s="131">
        <f>IFERROR(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0,
IF($F$2="Seatech",
IF(AND(Sheet2!H16&gt;0,Sheet2!H16&lt;=8),8,
IF(AND(Sheet2!H16&gt;8,Sheet2!H16&lt;=16),16,
IF(AND(Sheet2!H16&gt;16,Sheet2!H16&lt;=24),24,""))),
IF($F$2="Rabobank",
IF(AND(Sheet2!F16="Yes",Sheet2!F17="No",Sheet2!D16&gt;0,Sheet2!D16&lt;=4),4,
IF(AND(Sheet2!F16="No",Sheet2!F17="Yes",Sheet2!D17&gt;0,Sheet2!D17&lt;=4),4,
IF(AND(Sheet2!F16="Yes",Sheet2!F17="Yes",Sheet2!H16&gt;0,Sheet2!H16&lt;=4),4,
IF(AND(Sheet2!F16="Yes",Sheet2!F17="",Sheet2!H16&gt;0,Sheet2!H16&lt;=4),4,
IF(AND(Sheet2!F16="",Sheet2!F17="Yes",Sheet2!H16&gt;0,Sheet2!H16&lt;=4),4,
IF(AND(Sheet2!F16="Yes",Sheet2!H16&gt;0,Sheet2!H16&lt;=4),4,
IF(AND(Sheet2!F16="Yes",Sheet2!F17="No",Sheet2!D16&gt;4,Sheet2!D16&lt;=8),8,
IF(AND(Sheet2!F16="No",Sheet2!F17="Yes",Sheet2!D17&gt;4,Sheet2!D17&lt;=8),8,
IF(AND(Sheet2!F16="Yes",Sheet2!F17="Yes",Sheet2!H16&gt;4,Sheet2!H16&lt;=8),8,
IF(AND(Sheet2!F16="",Sheet2!F17="Yes",Sheet2!D17&gt;4,Sheet2!D17&lt;=8),8,
IF(AND(Sheet2!F16="Yes",Sheet2!F17="",Sheet2!H16&gt;4,Sheet2!H16&lt;=8),8,
IF(AND(Sheet2!F16="Yes",Sheet2!D17&gt;4,Sheet2!D17&lt;=8),8,"")))))))))))),
SUM(IF(MINUTE(F21-E21)&gt;28,HOUR(F21-E21)+1,HOUR(F21-E21)),IF(MINUTE(F22-E22)&gt;28,HOUR(F22-E22)+1,HOUR(F22-E22)))))),"")</f>
        <v>0</v>
      </c>
      <c r="I21" s="206">
        <f>IFERROR(IF(E21=0,0,
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'Timesheet-Regular'!F23,0)),"")</f>
        <v>0</v>
      </c>
      <c r="J21" s="203"/>
      <c r="K21" s="204"/>
      <c r="L21" s="204"/>
      <c r="M21" s="204"/>
      <c r="N21" s="204"/>
      <c r="O21" s="204"/>
      <c r="P21" s="204"/>
      <c r="Q21" s="205"/>
      <c r="S21" s="11"/>
    </row>
    <row r="22" spans="3:19" s="21" customFormat="1" ht="15" customHeight="1" x14ac:dyDescent="0.35">
      <c r="C22" s="155"/>
      <c r="D22" s="134"/>
      <c r="E22" s="71">
        <f>IFERROR(IF(G22="Yes",Sheet2!B17,0),"")</f>
        <v>0</v>
      </c>
      <c r="F22" s="71">
        <f>IFERROR(IF('OT Form'!G22="Yes",Sheet2!C17,0),"")</f>
        <v>0</v>
      </c>
      <c r="G22" s="39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IF(IFERROR(VLOOKUP($F$2,List!$A$70:$A$104,1,0),"")='OT Form'!$F$2,"",IF(Sheet2!F17="Yes","Yes","")),
IF(OR(C21="Monday",C21="Tuesday",C21="Wednesday",C21="Thursday",C21="Friday"),IF(IFERROR(VLOOKUP($F$2,List!$A$4:$A$42,1,0),"")='OT Form'!$F$2,"",IF(Sheet2!F17="Yes","Yes",""))))</f>
        <v/>
      </c>
      <c r="H22" s="132"/>
      <c r="I22" s="207"/>
      <c r="J22" s="203"/>
      <c r="K22" s="204"/>
      <c r="L22" s="204"/>
      <c r="M22" s="204"/>
      <c r="N22" s="204"/>
      <c r="O22" s="204"/>
      <c r="P22" s="204"/>
      <c r="Q22" s="205"/>
      <c r="S22" s="11"/>
    </row>
    <row r="23" spans="3:19" s="21" customFormat="1" ht="15" customHeight="1" x14ac:dyDescent="0.35">
      <c r="C23" s="154" t="str">
        <f t="shared" ref="C23" si="10">CHOOSE(WEEKDAY(D23),"Sunday","Monday","Tuesday","Wednesday","Thursday","Friday","Saturday")</f>
        <v>Friday</v>
      </c>
      <c r="D23" s="133">
        <f t="shared" ref="D23" si="11">D21+1</f>
        <v>44750</v>
      </c>
      <c r="E23" s="71">
        <f>IFERROR(IF(G23="Yes",Sheet2!B18,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,G24="Yes"),0,0)),"")</f>
        <v>0</v>
      </c>
      <c r="F23" s="71">
        <f>IFERROR(IF(E23=0,0,IF('OT Form'!G23="Yes",Sheet2!C18,0)),"")</f>
        <v>0</v>
      </c>
      <c r="G23" s="39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IF(IFERROR(VLOOKUP($F$2,List!$A$70:$A$104,1,0),"")='OT Form'!$F$2,"",IF(Sheet2!F18="Yes","Yes","")),
IF(OR(C23="Monday",C23="Tuesday",C23="Wednesday",C23="Thursday",C23="Friday"),IF(IFERROR(VLOOKUP($F$2,List!$A$4:$A$42,1,0),"")='OT Form'!$F$2,"",IF(Sheet2!F18="Yes","Yes",""))))</f>
        <v/>
      </c>
      <c r="H23" s="131">
        <f>IFERROR(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0,
IF($F$2="Seatech",
IF(AND(Sheet2!H18&gt;0,Sheet2!H18&lt;=8),8,
IF(AND(Sheet2!H18&gt;8,Sheet2!H18&lt;=16),16,
IF(AND(Sheet2!H18&gt;16,Sheet2!H18&lt;=24),24,""))),
IF($F$2="Rabobank",
IF(AND(Sheet2!F18="Yes",Sheet2!F19="No",Sheet2!D18&gt;0,Sheet2!D18&lt;=4),4,
IF(AND(Sheet2!F18="No",Sheet2!F19="Yes",Sheet2!D19&gt;0,Sheet2!D19&lt;=4),4,
IF(AND(Sheet2!F18="Yes",Sheet2!F19="Yes",Sheet2!H18&gt;0,Sheet2!H18&lt;=4),4,
IF(AND(Sheet2!F18="Yes",Sheet2!F19="",Sheet2!H18&gt;0,Sheet2!H18&lt;=4),4,
IF(AND(Sheet2!F18="",Sheet2!F19="Yes",Sheet2!H18&gt;0,Sheet2!H18&lt;=4),4,
IF(AND(Sheet2!F18="Yes",Sheet2!H18&gt;0,Sheet2!H18&lt;=4),4,
IF(AND(Sheet2!F18="Yes",Sheet2!F19="No",Sheet2!D18&gt;4,Sheet2!D18&lt;=8),8,
IF(AND(Sheet2!F18="No",Sheet2!F19="Yes",Sheet2!D19&gt;4,Sheet2!D19&lt;=8),8,
IF(AND(Sheet2!F18="Yes",Sheet2!F19="Yes",Sheet2!H18&gt;4,Sheet2!H18&lt;=8),8,
IF(AND(Sheet2!F18="",Sheet2!F19="Yes",Sheet2!D19&gt;4,Sheet2!D19&lt;=8),8,
IF(AND(Sheet2!F18="Yes",Sheet2!F19="",Sheet2!H18&gt;4,Sheet2!H18&lt;=8),8,
IF(AND(Sheet2!F18="Yes",Sheet2!D19&gt;4,Sheet2!D19&lt;=8),8,"")))))))))))),
SUM(IF(MINUTE(F23-E23)&gt;28,HOUR(F23-E23)+1,HOUR(F23-E23)),IF(MINUTE(F24-E24)&gt;28,HOUR(F24-E24)+1,HOUR(F24-E24)))))),"")</f>
        <v>0</v>
      </c>
      <c r="I23" s="206">
        <f>IFERROR(IF(E23=0,0,
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'Timesheet-Regular'!F25,0)),"")</f>
        <v>0</v>
      </c>
      <c r="J23" s="203"/>
      <c r="K23" s="204"/>
      <c r="L23" s="204"/>
      <c r="M23" s="204"/>
      <c r="N23" s="204"/>
      <c r="O23" s="204"/>
      <c r="P23" s="204"/>
      <c r="Q23" s="205"/>
      <c r="S23" s="11"/>
    </row>
    <row r="24" spans="3:19" s="21" customFormat="1" ht="15" customHeight="1" x14ac:dyDescent="0.35">
      <c r="C24" s="155"/>
      <c r="D24" s="134"/>
      <c r="E24" s="71">
        <f>IFERROR(IF(G24="Yes",Sheet2!B19,0),"")</f>
        <v>0</v>
      </c>
      <c r="F24" s="71">
        <f>IFERROR(IF('OT Form'!G24="Yes",Sheet2!C19,0),"")</f>
        <v>0</v>
      </c>
      <c r="G24" s="39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IF(IFERROR(VLOOKUP($F$2,List!$A$70:$A$104,1,0),"")='OT Form'!$F$2,"",IF(Sheet2!F19="Yes","Yes","")),
IF(OR(C23="Monday",C23="Tuesday",C23="Wednesday",C23="Thursday",C23="Friday"),IF(IFERROR(VLOOKUP($F$2,List!$A$4:$A$42,1,0),"")='OT Form'!$F$2,"",IF(Sheet2!F19="Yes","Yes",""))))</f>
        <v/>
      </c>
      <c r="H24" s="132"/>
      <c r="I24" s="207"/>
      <c r="J24" s="203"/>
      <c r="K24" s="204"/>
      <c r="L24" s="204"/>
      <c r="M24" s="204"/>
      <c r="N24" s="204"/>
      <c r="O24" s="204"/>
      <c r="P24" s="204"/>
      <c r="Q24" s="205"/>
      <c r="S24" s="11"/>
    </row>
    <row r="25" spans="3:19" s="21" customFormat="1" ht="15" customHeight="1" x14ac:dyDescent="0.35">
      <c r="C25" s="151" t="str">
        <f t="shared" ref="C25" si="12">CHOOSE(WEEKDAY(D25),"Sunday","Monday","Tuesday","Wednesday","Thursday","Friday","Saturday")</f>
        <v>Saturday</v>
      </c>
      <c r="D25" s="211">
        <f t="shared" ref="D25" si="13">D23+1</f>
        <v>44751</v>
      </c>
      <c r="E25" s="118">
        <f>IFERROR(IF(G25="Yes",Sheet2!B20,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,G26="Yes"),0,0)),"")</f>
        <v>0</v>
      </c>
      <c r="F25" s="118">
        <f>IFERROR(IF(E25=0,0,IF('OT Form'!G25="Yes",Sheet2!C20,0)),"")</f>
        <v>0</v>
      </c>
      <c r="G25" s="117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IF(IFERROR(VLOOKUP($F$2,List!$A$70:$A$104,1,0),"")='OT Form'!$F$2,"",IF(Sheet2!F20="Yes","Yes","")),
IF(OR(C25="Monday",C25="Tuesday",C25="Wednesday",C25="Thursday",C25="Friday"),IF(IFERROR(VLOOKUP($F$2,List!$A$4:$A$42,1,0),"")='OT Form'!$F$2,"",IF(Sheet2!F20="Yes","Yes",""))))</f>
        <v/>
      </c>
      <c r="H25" s="129">
        <f>IFERROR(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0,
IF($F$2="Seatech",
IF(AND(Sheet2!H20&gt;0,Sheet2!H20&lt;=8),8,
IF(AND(Sheet2!H20&gt;8,Sheet2!H20&lt;=16),16,
IF(AND(Sheet2!H20&gt;16,Sheet2!H20&lt;=24),24,""))),
IF($F$2="Rabobank",
IF(AND(Sheet2!F20="Yes",Sheet2!F21="No",Sheet2!D20&gt;0,Sheet2!D20&lt;=4),4,
IF(AND(Sheet2!F20="No",Sheet2!F21="Yes",Sheet2!D21&gt;0,Sheet2!D21&lt;=4),4,
IF(AND(Sheet2!F20="Yes",Sheet2!F21="Yes",Sheet2!H20&gt;0,Sheet2!H20&lt;=4),4,
IF(AND(Sheet2!F20="Yes",Sheet2!F21="",Sheet2!H20&gt;0,Sheet2!H20&lt;=4),4,
IF(AND(Sheet2!F20="",Sheet2!F21="Yes",Sheet2!H20&gt;0,Sheet2!H20&lt;=4),4,
IF(AND(Sheet2!F20="Yes",Sheet2!H20&gt;0,Sheet2!H20&lt;=4),4,
IF(AND(Sheet2!F20="Yes",Sheet2!F21="No",Sheet2!D20&gt;4,Sheet2!D20&lt;=8),8,
IF(AND(Sheet2!F20="No",Sheet2!F21="Yes",Sheet2!D21&gt;4,Sheet2!D21&lt;=8),8,
IF(AND(Sheet2!F20="Yes",Sheet2!F21="Yes",Sheet2!H20&gt;4,Sheet2!H20&lt;=8),8,
IF(AND(Sheet2!F20="",Sheet2!F21="Yes",Sheet2!D21&gt;4,Sheet2!D21&lt;=8),8,
IF(AND(Sheet2!F20="Yes",Sheet2!F21="",Sheet2!H20&gt;4,Sheet2!H20&lt;=8),8,
IF(AND(Sheet2!F20="Yes",Sheet2!D21&gt;4,Sheet2!D21&lt;=8),8,"")))))))))))),
SUM(IF(MINUTE(F25-E25)&gt;28,HOUR(F25-E25)+1,HOUR(F25-E25)),IF(MINUTE(F26-E26)&gt;28,HOUR(F26-E26)+1,HOUR(F26-E26)))))),"")</f>
        <v>0</v>
      </c>
      <c r="I25" s="213">
        <f>IFERROR(IF(E25=0,0,
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'Timesheet-Regular'!F27,0)),"")</f>
        <v>0</v>
      </c>
      <c r="J25" s="215"/>
      <c r="K25" s="216"/>
      <c r="L25" s="216"/>
      <c r="M25" s="216"/>
      <c r="N25" s="216"/>
      <c r="O25" s="216"/>
      <c r="P25" s="216"/>
      <c r="Q25" s="217"/>
      <c r="S25" s="11"/>
    </row>
    <row r="26" spans="3:19" s="21" customFormat="1" ht="15" customHeight="1" x14ac:dyDescent="0.35">
      <c r="C26" s="152"/>
      <c r="D26" s="212"/>
      <c r="E26" s="118">
        <f>IFERROR(IF(G26="Yes",Sheet2!B21,0),"")</f>
        <v>0</v>
      </c>
      <c r="F26" s="118">
        <f>IFERROR(IF('OT Form'!G26="Yes",Sheet2!C21,0),"")</f>
        <v>0</v>
      </c>
      <c r="G26" s="117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IF(IFERROR(VLOOKUP($F$2,List!$A$70:$A$104,1,0),"")='OT Form'!$F$2,"",IF(Sheet2!F21="Yes","Yes","")),
IF(OR(C25="Monday",C25="Tuesday",C25="Wednesday",C25="Thursday",C25="Friday"),IF(IFERROR(VLOOKUP($F$2,List!$A$4:$A$42,1,0),"")='OT Form'!$F$2,"",IF(Sheet2!F21="Yes","Yes",""))))</f>
        <v/>
      </c>
      <c r="H26" s="130"/>
      <c r="I26" s="214"/>
      <c r="J26" s="215"/>
      <c r="K26" s="216"/>
      <c r="L26" s="216"/>
      <c r="M26" s="216"/>
      <c r="N26" s="216"/>
      <c r="O26" s="216"/>
      <c r="P26" s="216"/>
      <c r="Q26" s="217"/>
      <c r="S26" s="11"/>
    </row>
    <row r="27" spans="3:19" s="21" customFormat="1" ht="15" customHeight="1" x14ac:dyDescent="0.35">
      <c r="C27" s="151" t="str">
        <f t="shared" ref="C27" si="14">CHOOSE(WEEKDAY(D27),"Sunday","Monday","Tuesday","Wednesday","Thursday","Friday","Saturday")</f>
        <v>Sunday</v>
      </c>
      <c r="D27" s="211">
        <f t="shared" ref="D27" si="15">D25+1</f>
        <v>44752</v>
      </c>
      <c r="E27" s="118">
        <f>IFERROR(IF(G27="Yes",Sheet2!B22,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,G28="Yes"),0,0)),"")</f>
        <v>0</v>
      </c>
      <c r="F27" s="118">
        <f>IFERROR(IF(E27=0,0,IF('OT Form'!G27="Yes",Sheet2!C22,0)),"")</f>
        <v>0</v>
      </c>
      <c r="G27" s="117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IF(IFERROR(VLOOKUP($F$2,List!$A$70:$A$104,1,0),"")='OT Form'!$F$2,"",IF(Sheet2!F22="Yes","Yes","")),
IF(OR(C27="Monday",C27="Tuesday",C27="Wednesday",C27="Thursday",C27="Friday"),IF(IFERROR(VLOOKUP($F$2,List!$A$4:$A$42,1,0),"")='OT Form'!$F$2,"",IF(Sheet2!F22="Yes","Yes",""))))</f>
        <v/>
      </c>
      <c r="H27" s="129">
        <f>IFERROR(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0,
IF($F$2="Seatech",
IF(AND(Sheet2!H22&gt;0,Sheet2!H22&lt;=8),8,
IF(AND(Sheet2!H22&gt;8,Sheet2!H22&lt;=16),16,
IF(AND(Sheet2!H22&gt;16,Sheet2!H22&lt;=24),24,""))),
IF($F$2="Rabobank",
IF(AND(Sheet2!F22="Yes",Sheet2!F23="No",Sheet2!D22&gt;0,Sheet2!D22&lt;=4),4,
IF(AND(Sheet2!F22="No",Sheet2!F23="Yes",Sheet2!D23&gt;0,Sheet2!D23&lt;=4),4,
IF(AND(Sheet2!F22="Yes",Sheet2!F23="Yes",Sheet2!H22&gt;0,Sheet2!H22&lt;=4),4,
IF(AND(Sheet2!F22="Yes",Sheet2!F23="",Sheet2!H22&gt;0,Sheet2!H22&lt;=4),4,
IF(AND(Sheet2!F22="",Sheet2!F23="Yes",Sheet2!H22&gt;0,Sheet2!H22&lt;=4),4,
IF(AND(Sheet2!F22="Yes",Sheet2!H22&gt;0,Sheet2!H22&lt;=4),4,
IF(AND(Sheet2!F22="Yes",Sheet2!F23="No",Sheet2!D22&gt;4,Sheet2!D22&lt;=8),8,
IF(AND(Sheet2!F22="No",Sheet2!F23="Yes",Sheet2!D23&gt;4,Sheet2!D23&lt;=8),8,
IF(AND(Sheet2!F22="Yes",Sheet2!F23="Yes",Sheet2!H22&gt;4,Sheet2!H22&lt;=8),8,
IF(AND(Sheet2!F22="",Sheet2!F23="Yes",Sheet2!D23&gt;4,Sheet2!D23&lt;=8),8,
IF(AND(Sheet2!F22="Yes",Sheet2!F23="",Sheet2!H22&gt;4,Sheet2!H22&lt;=8),8,
IF(AND(Sheet2!F22="Yes",Sheet2!D23&gt;4,Sheet2!D23&lt;=8),8,"")))))))))))),
SUM(IF(MINUTE(F27-E27)&gt;28,HOUR(F27-E27)+1,HOUR(F27-E27)),IF(MINUTE(F28-E28)&gt;28,HOUR(F28-E28)+1,HOUR(F28-E28)))))),"")</f>
        <v>0</v>
      </c>
      <c r="I27" s="213">
        <f>IFERROR(IF(E27=0,0,
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'Timesheet-Regular'!F29,0)),"")</f>
        <v>0</v>
      </c>
      <c r="J27" s="215"/>
      <c r="K27" s="216"/>
      <c r="L27" s="216"/>
      <c r="M27" s="216"/>
      <c r="N27" s="216"/>
      <c r="O27" s="216"/>
      <c r="P27" s="216"/>
      <c r="Q27" s="217"/>
      <c r="S27" s="11"/>
    </row>
    <row r="28" spans="3:19" s="21" customFormat="1" ht="15" customHeight="1" x14ac:dyDescent="0.35">
      <c r="C28" s="152"/>
      <c r="D28" s="212"/>
      <c r="E28" s="118">
        <f>IFERROR(IF(G28="Yes",Sheet2!B23,0),"")</f>
        <v>0</v>
      </c>
      <c r="F28" s="118">
        <f>IFERROR(IF('OT Form'!G28="Yes",Sheet2!C23,0),"")</f>
        <v>0</v>
      </c>
      <c r="G28" s="117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IF(IFERROR(VLOOKUP($F$2,List!$A$70:$A$104,1,0),"")='OT Form'!$F$2,"",IF(Sheet2!F23="Yes","Yes","")),
IF(OR(C27="Monday",C27="Tuesday",C27="Wednesday",C27="Thursday",C27="Friday"),IF(IFERROR(VLOOKUP($F$2,List!$A$4:$A$42,1,0),"")='OT Form'!$F$2,"",IF(Sheet2!F23="Yes","Yes",""))))</f>
        <v/>
      </c>
      <c r="H28" s="130"/>
      <c r="I28" s="214"/>
      <c r="J28" s="215"/>
      <c r="K28" s="216"/>
      <c r="L28" s="216"/>
      <c r="M28" s="216"/>
      <c r="N28" s="216"/>
      <c r="O28" s="216"/>
      <c r="P28" s="216"/>
      <c r="Q28" s="217"/>
      <c r="S28" s="11"/>
    </row>
    <row r="29" spans="3:19" s="21" customFormat="1" ht="15" customHeight="1" x14ac:dyDescent="0.35">
      <c r="C29" s="154" t="str">
        <f t="shared" ref="C29" si="16">CHOOSE(WEEKDAY(D29),"Sunday","Monday","Tuesday","Wednesday","Thursday","Friday","Saturday")</f>
        <v>Monday</v>
      </c>
      <c r="D29" s="133">
        <f t="shared" ref="D29" si="17">D27+1</f>
        <v>44753</v>
      </c>
      <c r="E29" s="71">
        <f>IFERROR(IF(G29="Yes",Sheet2!B24,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,G30="Yes"),0,0)),"")</f>
        <v>0</v>
      </c>
      <c r="F29" s="71">
        <f>IFERROR(IF(E29=0,0,IF('OT Form'!G29="Yes",Sheet2!C24,0)),"")</f>
        <v>0</v>
      </c>
      <c r="G29" s="39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IF(IFERROR(VLOOKUP($F$2,List!$A$70:$A$104,1,0),"")='OT Form'!$F$2,"",IF(Sheet2!F24="Yes","Yes","")),
IF(OR(C29="Monday",C29="Tuesday",C29="Wednesday",C29="Thursday",C29="Friday"),IF(IFERROR(VLOOKUP($F$2,List!$A$4:$A$42,1,0),"")='OT Form'!$F$2,"",IF(Sheet2!F24="Yes","Yes",""))))</f>
        <v/>
      </c>
      <c r="H29" s="131">
        <f>IFERROR(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0,
IF($F$2="Seatech",
IF(AND(Sheet2!H24&gt;0,Sheet2!H24&lt;=8),8,
IF(AND(Sheet2!H24&gt;8,Sheet2!H24&lt;=16),16,
IF(AND(Sheet2!H24&gt;16,Sheet2!H24&lt;=24),24,""))),
IF($F$2="Rabobank",
IF(AND(Sheet2!F24="Yes",Sheet2!F25="No",Sheet2!D24&gt;0,Sheet2!D24&lt;=4),4,
IF(AND(Sheet2!F24="No",Sheet2!F25="Yes",Sheet2!D25&gt;0,Sheet2!D25&lt;=4),4,
IF(AND(Sheet2!F24="Yes",Sheet2!F25="Yes",Sheet2!H24&gt;0,Sheet2!H24&lt;=4),4,
IF(AND(Sheet2!F24="Yes",Sheet2!F25="",Sheet2!H24&gt;0,Sheet2!H24&lt;=4),4,
IF(AND(Sheet2!F24="",Sheet2!F25="Yes",Sheet2!H24&gt;0,Sheet2!H24&lt;=4),4,
IF(AND(Sheet2!F24="Yes",Sheet2!H24&gt;0,Sheet2!H24&lt;=4),4,
IF(AND(Sheet2!F24="Yes",Sheet2!F25="No",Sheet2!D24&gt;4,Sheet2!D24&lt;=8),8,
IF(AND(Sheet2!F24="No",Sheet2!F25="Yes",Sheet2!D25&gt;4,Sheet2!D25&lt;=8),8,
IF(AND(Sheet2!F24="Yes",Sheet2!F25="Yes",Sheet2!H24&gt;4,Sheet2!H24&lt;=8),8,
IF(AND(Sheet2!F24="",Sheet2!F25="Yes",Sheet2!D25&gt;4,Sheet2!D25&lt;=8),8,
IF(AND(Sheet2!F24="Yes",Sheet2!F25="",Sheet2!H24&gt;4,Sheet2!H24&lt;=8),8,
IF(AND(Sheet2!F24="Yes",Sheet2!D25&gt;4,Sheet2!D25&lt;=8),8,"")))))))))))),
SUM(IF(MINUTE(F29-E29)&gt;28,HOUR(F29-E29)+1,HOUR(F29-E29)),IF(MINUTE(F30-E30)&gt;28,HOUR(F30-E30)+1,HOUR(F30-E30)))))),"")</f>
        <v>0</v>
      </c>
      <c r="I29" s="206">
        <f>IFERROR(IF(E29=0,0,
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'Timesheet-Regular'!F31,0)),"")</f>
        <v>0</v>
      </c>
      <c r="J29" s="203"/>
      <c r="K29" s="204"/>
      <c r="L29" s="204"/>
      <c r="M29" s="204"/>
      <c r="N29" s="204"/>
      <c r="O29" s="204"/>
      <c r="P29" s="204"/>
      <c r="Q29" s="205"/>
      <c r="S29" s="11"/>
    </row>
    <row r="30" spans="3:19" s="21" customFormat="1" ht="15" customHeight="1" x14ac:dyDescent="0.35">
      <c r="C30" s="155"/>
      <c r="D30" s="134"/>
      <c r="E30" s="71">
        <f>IFERROR(IF(G30="Yes",Sheet2!B25,0),"")</f>
        <v>0</v>
      </c>
      <c r="F30" s="71">
        <f>IFERROR(IF('OT Form'!G30="Yes",Sheet2!C25,0),"")</f>
        <v>0</v>
      </c>
      <c r="G30" s="39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IF(IFERROR(VLOOKUP($F$2,List!$A$70:$A$104,1,0),"")='OT Form'!$F$2,"",IF(Sheet2!F25="Yes","Yes","")),
IF(OR(C29="Monday",C29="Tuesday",C29="Wednesday",C29="Thursday",C29="Friday"),IF(IFERROR(VLOOKUP($F$2,List!$A$4:$A$42,1,0),"")='OT Form'!$F$2,"",IF(Sheet2!F25="Yes","Yes",""))))</f>
        <v/>
      </c>
      <c r="H30" s="132"/>
      <c r="I30" s="207"/>
      <c r="J30" s="203"/>
      <c r="K30" s="204"/>
      <c r="L30" s="204"/>
      <c r="M30" s="204"/>
      <c r="N30" s="204"/>
      <c r="O30" s="204"/>
      <c r="P30" s="204"/>
      <c r="Q30" s="205"/>
      <c r="S30" s="11"/>
    </row>
    <row r="31" spans="3:19" s="21" customFormat="1" ht="15" customHeight="1" x14ac:dyDescent="0.35">
      <c r="C31" s="154" t="str">
        <f t="shared" ref="C31" si="18">CHOOSE(WEEKDAY(D31),"Sunday","Monday","Tuesday","Wednesday","Thursday","Friday","Saturday")</f>
        <v>Tuesday</v>
      </c>
      <c r="D31" s="133">
        <f t="shared" ref="D31" si="19">D29+1</f>
        <v>44754</v>
      </c>
      <c r="E31" s="71">
        <f>IFERROR(IF(G31="Yes",Sheet2!B26,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,G32="Yes"),0,0)),"")</f>
        <v>0</v>
      </c>
      <c r="F31" s="71">
        <f>IFERROR(IF(E31=0,0,IF('OT Form'!G31="Yes",Sheet2!C26,0)),"")</f>
        <v>0</v>
      </c>
      <c r="G31" s="39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IF(IFERROR(VLOOKUP($F$2,List!$A$70:$A$104,1,0),"")='OT Form'!$F$2,"",IF(Sheet2!F26="Yes","Yes","")),
IF(OR(C31="Monday",C31="Tuesday",C31="Wednesday",C31="Thursday",C31="Friday"),IF(IFERROR(VLOOKUP($F$2,List!$A$4:$A$42,1,0),"")='OT Form'!$F$2,"",IF(Sheet2!F26="Yes","Yes",""))))</f>
        <v/>
      </c>
      <c r="H31" s="131">
        <f>IFERROR(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0,
IF($F$2="Seatech",
IF(AND(Sheet2!H26&gt;0,Sheet2!H26&lt;=8),8,
IF(AND(Sheet2!H26&gt;8,Sheet2!H26&lt;=16),16,
IF(AND(Sheet2!H26&gt;16,Sheet2!H26&lt;=24),24,""))),
IF($F$2="Rabobank",
IF(AND(Sheet2!F26="Yes",Sheet2!F27="No",Sheet2!D26&gt;0,Sheet2!D26&lt;=4),4,
IF(AND(Sheet2!F26="No",Sheet2!F27="Yes",Sheet2!D27&gt;0,Sheet2!D27&lt;=4),4,
IF(AND(Sheet2!F26="Yes",Sheet2!F27="Yes",Sheet2!H26&gt;0,Sheet2!H26&lt;=4),4,
IF(AND(Sheet2!F26="Yes",Sheet2!F27="",Sheet2!H26&gt;0,Sheet2!H26&lt;=4),4,
IF(AND(Sheet2!F26="",Sheet2!F27="Yes",Sheet2!H26&gt;0,Sheet2!H26&lt;=4),4,
IF(AND(Sheet2!F26="Yes",Sheet2!H26&gt;0,Sheet2!H26&lt;=4),4,
IF(AND(Sheet2!F26="Yes",Sheet2!F27="No",Sheet2!D26&gt;4,Sheet2!D26&lt;=8),8,
IF(AND(Sheet2!F26="No",Sheet2!F27="Yes",Sheet2!D27&gt;4,Sheet2!D27&lt;=8),8,
IF(AND(Sheet2!F26="Yes",Sheet2!F27="Yes",Sheet2!H26&gt;4,Sheet2!H26&lt;=8),8,
IF(AND(Sheet2!F26="",Sheet2!F27="Yes",Sheet2!D27&gt;4,Sheet2!D27&lt;=8),8,
IF(AND(Sheet2!F26="Yes",Sheet2!F27="",Sheet2!H26&gt;4,Sheet2!H26&lt;=8),8,
IF(AND(Sheet2!F26="Yes",Sheet2!D27&gt;4,Sheet2!D27&lt;=8),8,"")))))))))))),
SUM(IF(MINUTE(F31-E31)&gt;28,HOUR(F31-E31)+1,HOUR(F31-E31)),IF(MINUTE(F32-E32)&gt;28,HOUR(F32-E32)+1,HOUR(F32-E32)))))),"")</f>
        <v>0</v>
      </c>
      <c r="I31" s="206">
        <f>IFERROR(IF(E31=0,0,
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'Timesheet-Regular'!F33,0)),"")</f>
        <v>0</v>
      </c>
      <c r="J31" s="203"/>
      <c r="K31" s="204"/>
      <c r="L31" s="204"/>
      <c r="M31" s="204"/>
      <c r="N31" s="204"/>
      <c r="O31" s="204"/>
      <c r="P31" s="204"/>
      <c r="Q31" s="205"/>
      <c r="S31" s="11"/>
    </row>
    <row r="32" spans="3:19" s="21" customFormat="1" ht="15" customHeight="1" x14ac:dyDescent="0.35">
      <c r="C32" s="155"/>
      <c r="D32" s="134"/>
      <c r="E32" s="71">
        <f>IFERROR(IF(G32="Yes",Sheet2!B27,0),"")</f>
        <v>0</v>
      </c>
      <c r="F32" s="71">
        <f>IFERROR(IF('OT Form'!G32="Yes",Sheet2!C27,0),"")</f>
        <v>0</v>
      </c>
      <c r="G32" s="39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IF(IFERROR(VLOOKUP($F$2,List!$A$70:$A$104,1,0),"")='OT Form'!$F$2,"",IF(Sheet2!F27="Yes","Yes","")),
IF(OR(C31="Monday",C31="Tuesday",C31="Wednesday",C31="Thursday",C31="Friday"),IF(IFERROR(VLOOKUP($F$2,List!$A$4:$A$42,1,0),"")='OT Form'!$F$2,"",IF(Sheet2!F27="Yes","Yes",""))))</f>
        <v/>
      </c>
      <c r="H32" s="132"/>
      <c r="I32" s="207"/>
      <c r="J32" s="203"/>
      <c r="K32" s="204"/>
      <c r="L32" s="204"/>
      <c r="M32" s="204"/>
      <c r="N32" s="204"/>
      <c r="O32" s="204"/>
      <c r="P32" s="204"/>
      <c r="Q32" s="205"/>
      <c r="S32" s="11"/>
    </row>
    <row r="33" spans="3:19" s="21" customFormat="1" ht="15" customHeight="1" x14ac:dyDescent="0.35">
      <c r="C33" s="154" t="str">
        <f t="shared" ref="C33" si="20">CHOOSE(WEEKDAY(D33),"Sunday","Monday","Tuesday","Wednesday","Thursday","Friday","Saturday")</f>
        <v>Wednesday</v>
      </c>
      <c r="D33" s="133">
        <f t="shared" ref="D33" si="21">D31+1</f>
        <v>44755</v>
      </c>
      <c r="E33" s="71">
        <f>IFERROR(IF(G33="Yes",Sheet2!B28,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,G34="Yes"),0,0)),"")</f>
        <v>0</v>
      </c>
      <c r="F33" s="71">
        <f>IFERROR(IF(E33=0,0,IF('OT Form'!G33="Yes",Sheet2!C28,0)),"")</f>
        <v>0</v>
      </c>
      <c r="G33" s="39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IF(IFERROR(VLOOKUP($F$2,List!$A$70:$A$104,1,0),"")='OT Form'!$F$2,"",IF(Sheet2!F28="Yes","Yes","")),
IF(OR(C33="Monday",C33="Tuesday",C33="Wednesday",C33="Thursday",C33="Friday"),IF(IFERROR(VLOOKUP($F$2,List!$A$4:$A$42,1,0),"")='OT Form'!$F$2,"",IF(Sheet2!F28="Yes","Yes",""))))</f>
        <v/>
      </c>
      <c r="H33" s="131">
        <f>IFERROR(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0,
IF($F$2="Seatech",
IF(AND(Sheet2!H28&gt;0,Sheet2!H28&lt;=8),8,
IF(AND(Sheet2!H28&gt;8,Sheet2!H28&lt;=16),16,
IF(AND(Sheet2!H28&gt;16,Sheet2!H28&lt;=24),24,""))),
IF($F$2="Rabobank",
IF(AND(Sheet2!F28="Yes",Sheet2!F29="No",Sheet2!D28&gt;0,Sheet2!D28&lt;=4),4,
IF(AND(Sheet2!F28="No",Sheet2!F29="Yes",Sheet2!D29&gt;0,Sheet2!D29&lt;=4),4,
IF(AND(Sheet2!F28="Yes",Sheet2!F29="Yes",Sheet2!H28&gt;0,Sheet2!H28&lt;=4),4,
IF(AND(Sheet2!F28="Yes",Sheet2!F29="",Sheet2!H28&gt;0,Sheet2!H28&lt;=4),4,
IF(AND(Sheet2!F28="",Sheet2!F29="Yes",Sheet2!H28&gt;0,Sheet2!H28&lt;=4),4,
IF(AND(Sheet2!F28="Yes",Sheet2!H28&gt;0,Sheet2!H28&lt;=4),4,
IF(AND(Sheet2!F28="Yes",Sheet2!F29="No",Sheet2!D28&gt;4,Sheet2!D28&lt;=8),8,
IF(AND(Sheet2!F28="No",Sheet2!F29="Yes",Sheet2!D29&gt;4,Sheet2!D29&lt;=8),8,
IF(AND(Sheet2!F28="Yes",Sheet2!F29="Yes",Sheet2!H28&gt;4,Sheet2!H28&lt;=8),8,
IF(AND(Sheet2!F28="",Sheet2!F29="Yes",Sheet2!D29&gt;4,Sheet2!D29&lt;=8),8,
IF(AND(Sheet2!F28="Yes",Sheet2!F29="",Sheet2!H28&gt;4,Sheet2!H28&lt;=8),8,
IF(AND(Sheet2!F28="Yes",Sheet2!D29&gt;4,Sheet2!D29&lt;=8),8,"")))))))))))),
SUM(IF(MINUTE(F33-E33)&gt;28,HOUR(F33-E33)+1,HOUR(F33-E33)),IF(MINUTE(F34-E34)&gt;28,HOUR(F34-E34)+1,HOUR(F34-E34)))))),"")</f>
        <v>0</v>
      </c>
      <c r="I33" s="206">
        <f>IFERROR(IF(E33=0,0,
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'Timesheet-Regular'!F35,0)),"")</f>
        <v>0</v>
      </c>
      <c r="J33" s="203"/>
      <c r="K33" s="204"/>
      <c r="L33" s="204"/>
      <c r="M33" s="204"/>
      <c r="N33" s="204"/>
      <c r="O33" s="204"/>
      <c r="P33" s="204"/>
      <c r="Q33" s="205"/>
      <c r="S33" s="11"/>
    </row>
    <row r="34" spans="3:19" s="21" customFormat="1" ht="15" customHeight="1" x14ac:dyDescent="0.35">
      <c r="C34" s="155"/>
      <c r="D34" s="134"/>
      <c r="E34" s="71">
        <f>IFERROR(IF(G34="Yes",Sheet2!B29,0),"")</f>
        <v>0</v>
      </c>
      <c r="F34" s="71">
        <f>IFERROR(IF('OT Form'!G34="Yes",Sheet2!C29,0),"")</f>
        <v>0</v>
      </c>
      <c r="G34" s="39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IF(IFERROR(VLOOKUP($F$2,List!$A$70:$A$104,1,0),"")='OT Form'!$F$2,"",IF(Sheet2!F29="Yes","Yes","")),
IF(OR(C33="Monday",C33="Tuesday",C33="Wednesday",C33="Thursday",C33="Friday"),IF(IFERROR(VLOOKUP($F$2,List!$A$4:$A$42,1,0),"")='OT Form'!$F$2,"",IF(Sheet2!F29="Yes","Yes",""))))</f>
        <v/>
      </c>
      <c r="H34" s="132"/>
      <c r="I34" s="207"/>
      <c r="J34" s="203"/>
      <c r="K34" s="204"/>
      <c r="L34" s="204"/>
      <c r="M34" s="204"/>
      <c r="N34" s="204"/>
      <c r="O34" s="204"/>
      <c r="P34" s="204"/>
      <c r="Q34" s="205"/>
      <c r="S34" s="11"/>
    </row>
    <row r="35" spans="3:19" s="21" customFormat="1" ht="15" customHeight="1" x14ac:dyDescent="0.35">
      <c r="C35" s="154" t="str">
        <f t="shared" ref="C35" si="22">CHOOSE(WEEKDAY(D35),"Sunday","Monday","Tuesday","Wednesday","Thursday","Friday","Saturday")</f>
        <v>Thursday</v>
      </c>
      <c r="D35" s="133">
        <f t="shared" ref="D35" si="23">D33+1</f>
        <v>44756</v>
      </c>
      <c r="E35" s="71">
        <f>IFERROR(IF(G35="Yes",Sheet2!B30,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,G36="Yes"),0,0)),"")</f>
        <v>0</v>
      </c>
      <c r="F35" s="71">
        <f>IFERROR(IF(E35=0,0,IF('OT Form'!G35="Yes",Sheet2!C30,0)),"")</f>
        <v>0</v>
      </c>
      <c r="G35" s="39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IF(IFERROR(VLOOKUP($F$2,List!$A$70:$A$104,1,0),"")='OT Form'!$F$2,"",IF(Sheet2!F30="Yes","Yes","")),
IF(OR(C35="Monday",C35="Tuesday",C35="Wednesday",C35="Thursday",C35="Friday"),IF(IFERROR(VLOOKUP($F$2,List!$A$4:$A$42,1,0),"")='OT Form'!$F$2,"",IF(Sheet2!F30="Yes","Yes",""))))</f>
        <v/>
      </c>
      <c r="H35" s="131">
        <f>IFERROR(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0,
IF($F$2="Seatech",
IF(AND(Sheet2!H30&gt;0,Sheet2!H30&lt;=8),8,
IF(AND(Sheet2!H30&gt;8,Sheet2!H30&lt;=16),16,
IF(AND(Sheet2!H30&gt;16,Sheet2!H30&lt;=24),24,""))),
IF($F$2="Rabobank",
IF(AND(Sheet2!F30="Yes",Sheet2!F31="No",Sheet2!D30&gt;0,Sheet2!D30&lt;=4),4,
IF(AND(Sheet2!F30="No",Sheet2!F31="Yes",Sheet2!D31&gt;0,Sheet2!D31&lt;=4),4,
IF(AND(Sheet2!F30="Yes",Sheet2!F31="Yes",Sheet2!H30&gt;0,Sheet2!H30&lt;=4),4,
IF(AND(Sheet2!F30="Yes",Sheet2!F31="",Sheet2!H30&gt;0,Sheet2!H30&lt;=4),4,
IF(AND(Sheet2!F30="",Sheet2!F31="Yes",Sheet2!H30&gt;0,Sheet2!H30&lt;=4),4,
IF(AND(Sheet2!F30="Yes",Sheet2!H30&gt;0,Sheet2!H30&lt;=4),4,
IF(AND(Sheet2!F30="Yes",Sheet2!F31="No",Sheet2!D30&gt;4,Sheet2!D30&lt;=8),8,
IF(AND(Sheet2!F30="No",Sheet2!F31="Yes",Sheet2!D31&gt;4,Sheet2!D31&lt;=8),8,
IF(AND(Sheet2!F30="Yes",Sheet2!F31="Yes",Sheet2!H30&gt;4,Sheet2!H30&lt;=8),8,
IF(AND(Sheet2!F30="",Sheet2!F31="Yes",Sheet2!D31&gt;4,Sheet2!D31&lt;=8),8,
IF(AND(Sheet2!F30="Yes",Sheet2!F31="",Sheet2!H30&gt;4,Sheet2!H30&lt;=8),8,
IF(AND(Sheet2!F30="Yes",Sheet2!D31&gt;4,Sheet2!D31&lt;=8),8,"")))))))))))),
SUM(IF(MINUTE(F35-E35)&gt;28,HOUR(F35-E35)+1,HOUR(F35-E35)),IF(MINUTE(F36-E36)&gt;28,HOUR(F36-E36)+1,HOUR(F36-E36)))))),"")</f>
        <v>0</v>
      </c>
      <c r="I35" s="206">
        <f>IFERROR(IF(E35=0,0,
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'Timesheet-Regular'!F37,0)),"")</f>
        <v>0</v>
      </c>
      <c r="J35" s="203"/>
      <c r="K35" s="204"/>
      <c r="L35" s="204"/>
      <c r="M35" s="204"/>
      <c r="N35" s="204"/>
      <c r="O35" s="204"/>
      <c r="P35" s="204"/>
      <c r="Q35" s="205"/>
      <c r="S35" s="11"/>
    </row>
    <row r="36" spans="3:19" s="21" customFormat="1" ht="15" customHeight="1" x14ac:dyDescent="0.35">
      <c r="C36" s="155"/>
      <c r="D36" s="134"/>
      <c r="E36" s="71">
        <f>IFERROR(IF(G36="Yes",Sheet2!B31,0),"")</f>
        <v>0</v>
      </c>
      <c r="F36" s="71">
        <f>IFERROR(IF('OT Form'!G36="Yes",Sheet2!C31,0),"")</f>
        <v>0</v>
      </c>
      <c r="G36" s="39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IF(IFERROR(VLOOKUP($F$2,List!$A$70:$A$104,1,0),"")='OT Form'!$F$2,"",IF(Sheet2!F31="Yes","Yes","")),
IF(OR(C35="Monday",C35="Tuesday",C35="Wednesday",C35="Thursday",C35="Friday"),IF(IFERROR(VLOOKUP($F$2,List!$A$4:$A$42,1,0),"")='OT Form'!$F$2,"",IF(Sheet2!F31="Yes","Yes",""))))</f>
        <v/>
      </c>
      <c r="H36" s="132"/>
      <c r="I36" s="207"/>
      <c r="J36" s="203"/>
      <c r="K36" s="204"/>
      <c r="L36" s="204"/>
      <c r="M36" s="204"/>
      <c r="N36" s="204"/>
      <c r="O36" s="204"/>
      <c r="P36" s="204"/>
      <c r="Q36" s="205"/>
      <c r="S36" s="11"/>
    </row>
    <row r="37" spans="3:19" s="21" customFormat="1" ht="15" customHeight="1" x14ac:dyDescent="0.35">
      <c r="C37" s="154" t="str">
        <f t="shared" ref="C37" si="24">CHOOSE(WEEKDAY(D37),"Sunday","Monday","Tuesday","Wednesday","Thursday","Friday","Saturday")</f>
        <v>Friday</v>
      </c>
      <c r="D37" s="133">
        <f t="shared" ref="D37" si="25">D35+1</f>
        <v>44757</v>
      </c>
      <c r="E37" s="71">
        <f>IFERROR(IF(G37="Yes",Sheet2!B32,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,G38="Yes"),0,0)),"")</f>
        <v>0</v>
      </c>
      <c r="F37" s="71">
        <f>IFERROR(IF(E37=0,0,IF('OT Form'!G37="Yes",Sheet2!C32,0)),"")</f>
        <v>0</v>
      </c>
      <c r="G37" s="39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IF(IFERROR(VLOOKUP($F$2,List!$A$70:$A$104,1,0),"")='OT Form'!$F$2,"",IF(Sheet2!F32="Yes","Yes","")),
IF(OR(C37="Monday",C37="Tuesday",C37="Wednesday",C37="Thursday",C37="Friday"),IF(IFERROR(VLOOKUP($F$2,List!$A$4:$A$42,1,0),"")='OT Form'!$F$2,"",IF(Sheet2!F32="Yes","Yes",""))))</f>
        <v/>
      </c>
      <c r="H37" s="131">
        <f>IFERROR(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0,
IF($F$2="Seatech",
IF(AND(Sheet2!H32&gt;0,Sheet2!H32&lt;=8),8,
IF(AND(Sheet2!H32&gt;8,Sheet2!H32&lt;=16),16,
IF(AND(Sheet2!H32&gt;16,Sheet2!H32&lt;=24),24,""))),
IF($F$2="Rabobank",
IF(AND(Sheet2!F32="Yes",Sheet2!F33="No",Sheet2!D32&gt;0,Sheet2!D32&lt;=4),4,
IF(AND(Sheet2!F32="No",Sheet2!F33="Yes",Sheet2!D33&gt;0,Sheet2!D33&lt;=4),4,
IF(AND(Sheet2!F32="Yes",Sheet2!F33="Yes",Sheet2!H32&gt;0,Sheet2!H32&lt;=4),4,
IF(AND(Sheet2!F32="Yes",Sheet2!F33="",Sheet2!H32&gt;0,Sheet2!H32&lt;=4),4,
IF(AND(Sheet2!F32="",Sheet2!F33="Yes",Sheet2!H32&gt;0,Sheet2!H32&lt;=4),4,
IF(AND(Sheet2!F32="Yes",Sheet2!H32&gt;0,Sheet2!H32&lt;=4),4,
IF(AND(Sheet2!F32="Yes",Sheet2!F33="No",Sheet2!D32&gt;4,Sheet2!D32&lt;=8),8,
IF(AND(Sheet2!F32="No",Sheet2!F33="Yes",Sheet2!D33&gt;4,Sheet2!D33&lt;=8),8,
IF(AND(Sheet2!F32="Yes",Sheet2!F33="Yes",Sheet2!H32&gt;4,Sheet2!H32&lt;=8),8,
IF(AND(Sheet2!F32="",Sheet2!F33="Yes",Sheet2!D33&gt;4,Sheet2!D33&lt;=8),8,
IF(AND(Sheet2!F32="Yes",Sheet2!F33="",Sheet2!H32&gt;4,Sheet2!H32&lt;=8),8,
IF(AND(Sheet2!F32="Yes",Sheet2!D33&gt;4,Sheet2!D33&lt;=8),8,"")))))))))))),
SUM(IF(MINUTE(F37-E37)&gt;28,HOUR(F37-E37)+1,HOUR(F37-E37)),IF(MINUTE(F38-E38)&gt;28,HOUR(F38-E38)+1,HOUR(F38-E38)))))),"")</f>
        <v>0</v>
      </c>
      <c r="I37" s="206">
        <f>IFERROR(IF(E37=0,0,
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'Timesheet-Regular'!F39,0)),"")</f>
        <v>0</v>
      </c>
      <c r="J37" s="203"/>
      <c r="K37" s="204"/>
      <c r="L37" s="204"/>
      <c r="M37" s="204"/>
      <c r="N37" s="204"/>
      <c r="O37" s="204"/>
      <c r="P37" s="204"/>
      <c r="Q37" s="205"/>
      <c r="S37" s="11"/>
    </row>
    <row r="38" spans="3:19" s="21" customFormat="1" ht="15" customHeight="1" x14ac:dyDescent="0.35">
      <c r="C38" s="155"/>
      <c r="D38" s="134"/>
      <c r="E38" s="71">
        <f>IFERROR(IF(G38="Yes",Sheet2!B33,0),"")</f>
        <v>0</v>
      </c>
      <c r="F38" s="71">
        <f>IFERROR(IF('OT Form'!G38="Yes",Sheet2!C33,0),"")</f>
        <v>0</v>
      </c>
      <c r="G38" s="39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IF(IFERROR(VLOOKUP($F$2,List!$A$70:$A$104,1,0),"")='OT Form'!$F$2,"",IF(Sheet2!F33="Yes","Yes","")),
IF(OR(C37="Monday",C37="Tuesday",C37="Wednesday",C37="Thursday",C37="Friday"),IF(IFERROR(VLOOKUP($F$2,List!$A$4:$A$42,1,0),"")='OT Form'!$F$2,"",IF(Sheet2!F33="Yes","Yes",""))))</f>
        <v/>
      </c>
      <c r="H38" s="132"/>
      <c r="I38" s="207"/>
      <c r="J38" s="203"/>
      <c r="K38" s="204"/>
      <c r="L38" s="204"/>
      <c r="M38" s="204"/>
      <c r="N38" s="204"/>
      <c r="O38" s="204"/>
      <c r="P38" s="204"/>
      <c r="Q38" s="205"/>
      <c r="S38" s="11"/>
    </row>
    <row r="39" spans="3:19" s="21" customFormat="1" ht="15" customHeight="1" x14ac:dyDescent="0.35">
      <c r="C39" s="151" t="str">
        <f t="shared" ref="C39" si="26">CHOOSE(WEEKDAY(D39),"Sunday","Monday","Tuesday","Wednesday","Thursday","Friday","Saturday")</f>
        <v>Saturday</v>
      </c>
      <c r="D39" s="211">
        <f t="shared" ref="D39" si="27">D37+1</f>
        <v>44758</v>
      </c>
      <c r="E39" s="118">
        <f>IFERROR(IF(G39="Yes",Sheet2!B34,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,G40="Yes"),0,0)),"")</f>
        <v>0</v>
      </c>
      <c r="F39" s="118">
        <f>IFERROR(IF(E39=0,0,IF('OT Form'!G39="Yes",Sheet2!C34,0)),"")</f>
        <v>0</v>
      </c>
      <c r="G39" s="117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IF(IFERROR(VLOOKUP($F$2,List!$A$70:$A$104,1,0),"")='OT Form'!$F$2,"",IF(Sheet2!F34="Yes","Yes","")),
IF(OR(C39="Monday",C39="Tuesday",C39="Wednesday",C39="Thursday",C39="Friday"),IF(IFERROR(VLOOKUP($F$2,List!$A$4:$A$42,1,0),"")='OT Form'!$F$2,"",IF(Sheet2!F34="Yes","Yes",""))))</f>
        <v/>
      </c>
      <c r="H39" s="129">
        <f>IFERROR(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0,
IF($F$2="Seatech",
IF(AND(Sheet2!H34&gt;0,Sheet2!H34&lt;=8),8,
IF(AND(Sheet2!H34&gt;8,Sheet2!H34&lt;=16),16,
IF(AND(Sheet2!H34&gt;16,Sheet2!H34&lt;=24),24,""))),
IF($F$2="Rabobank",
IF(AND(Sheet2!F34="Yes",Sheet2!F35="No",Sheet2!D34&gt;0,Sheet2!D34&lt;=4),4,
IF(AND(Sheet2!F34="No",Sheet2!F35="Yes",Sheet2!D35&gt;0,Sheet2!D35&lt;=4),4,
IF(AND(Sheet2!F34="Yes",Sheet2!F35="Yes",Sheet2!H34&gt;0,Sheet2!H34&lt;=4),4,
IF(AND(Sheet2!F34="Yes",Sheet2!F35="",Sheet2!H34&gt;0,Sheet2!H34&lt;=4),4,
IF(AND(Sheet2!F34="",Sheet2!F35="Yes",Sheet2!H34&gt;0,Sheet2!H34&lt;=4),4,
IF(AND(Sheet2!F34="Yes",Sheet2!H34&gt;0,Sheet2!H34&lt;=4),4,
IF(AND(Sheet2!F34="Yes",Sheet2!F35="No",Sheet2!D34&gt;4,Sheet2!D34&lt;=8),8,
IF(AND(Sheet2!F34="No",Sheet2!F35="Yes",Sheet2!D35&gt;4,Sheet2!D35&lt;=8),8,
IF(AND(Sheet2!F34="Yes",Sheet2!F35="Yes",Sheet2!H34&gt;4,Sheet2!H34&lt;=8),8,
IF(AND(Sheet2!F34="",Sheet2!F35="Yes",Sheet2!D35&gt;4,Sheet2!D35&lt;=8),8,
IF(AND(Sheet2!F34="Yes",Sheet2!F35="",Sheet2!H34&gt;4,Sheet2!H34&lt;=8),8,
IF(AND(Sheet2!F34="Yes",Sheet2!D35&gt;4,Sheet2!D35&lt;=8),8,"")))))))))))),
SUM(IF(MINUTE(F39-E39)&gt;28,HOUR(F39-E39)+1,HOUR(F39-E39)),IF(MINUTE(F40-E40)&gt;28,HOUR(F40-E40)+1,HOUR(F40-E40)))))),"")</f>
        <v>0</v>
      </c>
      <c r="I39" s="213">
        <f>IFERROR(IF(E39=0,0,
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'Timesheet-Regular'!F41,0)),"")</f>
        <v>0</v>
      </c>
      <c r="J39" s="215"/>
      <c r="K39" s="216"/>
      <c r="L39" s="216"/>
      <c r="M39" s="216"/>
      <c r="N39" s="216"/>
      <c r="O39" s="216"/>
      <c r="P39" s="216"/>
      <c r="Q39" s="217"/>
      <c r="S39" s="11"/>
    </row>
    <row r="40" spans="3:19" s="21" customFormat="1" ht="15" customHeight="1" x14ac:dyDescent="0.35">
      <c r="C40" s="152"/>
      <c r="D40" s="212"/>
      <c r="E40" s="118">
        <f>IFERROR(IF(G40="Yes",Sheet2!B35,0),"")</f>
        <v>0</v>
      </c>
      <c r="F40" s="118">
        <f>IFERROR(IF('OT Form'!G40="Yes",Sheet2!C35,0),"")</f>
        <v>0</v>
      </c>
      <c r="G40" s="117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IF(IFERROR(VLOOKUP($F$2,List!$A$70:$A$104,1,0),"")='OT Form'!$F$2,"",IF(Sheet2!F35="Yes","Yes","")),
IF(OR(C39="Monday",C39="Tuesday",C39="Wednesday",C39="Thursday",C39="Friday"),IF(IFERROR(VLOOKUP($F$2,List!$A$4:$A$42,1,0),"")='OT Form'!$F$2,"",IF(Sheet2!F35="Yes","Yes",""))))</f>
        <v/>
      </c>
      <c r="H40" s="130"/>
      <c r="I40" s="214"/>
      <c r="J40" s="215"/>
      <c r="K40" s="216"/>
      <c r="L40" s="216"/>
      <c r="M40" s="216"/>
      <c r="N40" s="216"/>
      <c r="O40" s="216"/>
      <c r="P40" s="216"/>
      <c r="Q40" s="217"/>
      <c r="S40" s="11"/>
    </row>
    <row r="41" spans="3:19" s="21" customFormat="1" ht="15" customHeight="1" x14ac:dyDescent="0.35">
      <c r="C41" s="151" t="str">
        <f t="shared" ref="C41" si="28">CHOOSE(WEEKDAY(D41),"Sunday","Monday","Tuesday","Wednesday","Thursday","Friday","Saturday")</f>
        <v>Sunday</v>
      </c>
      <c r="D41" s="211">
        <f t="shared" ref="D41" si="29">D39+1</f>
        <v>44759</v>
      </c>
      <c r="E41" s="118">
        <f>IFERROR(IF(G41="Yes",Sheet2!B36,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,G42="Yes"),0,0)),"")</f>
        <v>0</v>
      </c>
      <c r="F41" s="118">
        <f>IFERROR(IF(E41=0,0,IF('OT Form'!G41="Yes",Sheet2!C36,0)),"")</f>
        <v>0</v>
      </c>
      <c r="G41" s="117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IF(IFERROR(VLOOKUP($F$2,List!$A$70:$A$104,1,0),"")='OT Form'!$F$2,"",IF(Sheet2!F36="Yes","Yes","")),
IF(OR(C41="Monday",C41="Tuesday",C41="Wednesday",C41="Thursday",C41="Friday"),IF(IFERROR(VLOOKUP($F$2,List!$A$4:$A$42,1,0),"")='OT Form'!$F$2,"",IF(Sheet2!F36="Yes","Yes",""))))</f>
        <v/>
      </c>
      <c r="H41" s="129">
        <f>IFERROR(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0,
IF($F$2="Seatech",
IF(AND(Sheet2!H36&gt;0,Sheet2!H36&lt;=8),8,
IF(AND(Sheet2!H36&gt;8,Sheet2!H36&lt;=16),16,
IF(AND(Sheet2!H36&gt;16,Sheet2!H36&lt;=24),24,""))),
IF($F$2="Rabobank",
IF(AND(Sheet2!F36="Yes",Sheet2!F37="No",Sheet2!D36&gt;0,Sheet2!D36&lt;=4),4,
IF(AND(Sheet2!F36="No",Sheet2!F37="Yes",Sheet2!D37&gt;0,Sheet2!D37&lt;=4),4,
IF(AND(Sheet2!F36="Yes",Sheet2!F37="Yes",Sheet2!H36&gt;0,Sheet2!H36&lt;=4),4,
IF(AND(Sheet2!F36="Yes",Sheet2!F37="",Sheet2!H36&gt;0,Sheet2!H36&lt;=4),4,
IF(AND(Sheet2!F36="",Sheet2!F37="Yes",Sheet2!H36&gt;0,Sheet2!H36&lt;=4),4,
IF(AND(Sheet2!F36="Yes",Sheet2!H36&gt;0,Sheet2!H36&lt;=4),4,
IF(AND(Sheet2!F36="Yes",Sheet2!F37="No",Sheet2!D36&gt;4,Sheet2!D36&lt;=8),8,
IF(AND(Sheet2!F36="No",Sheet2!F37="Yes",Sheet2!D37&gt;4,Sheet2!D37&lt;=8),8,
IF(AND(Sheet2!F36="Yes",Sheet2!F37="Yes",Sheet2!H36&gt;4,Sheet2!H36&lt;=8),8,
IF(AND(Sheet2!F36="",Sheet2!F37="Yes",Sheet2!D37&gt;4,Sheet2!D37&lt;=8),8,
IF(AND(Sheet2!F36="Yes",Sheet2!F37="",Sheet2!H36&gt;4,Sheet2!H36&lt;=8),8,
IF(AND(Sheet2!F36="Yes",Sheet2!D37&gt;4,Sheet2!D37&lt;=8),8,"")))))))))))),
SUM(IF(MINUTE(F41-E41)&gt;28,HOUR(F41-E41)+1,HOUR(F41-E41)),IF(MINUTE(F42-E42)&gt;28,HOUR(F42-E42)+1,HOUR(F42-E42)))))),"")</f>
        <v>0</v>
      </c>
      <c r="I41" s="213">
        <f>IFERROR(IF(E41=0,0,
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'Timesheet-Regular'!F43,0)),"")</f>
        <v>0</v>
      </c>
      <c r="J41" s="215"/>
      <c r="K41" s="216"/>
      <c r="L41" s="216"/>
      <c r="M41" s="216"/>
      <c r="N41" s="216"/>
      <c r="O41" s="216"/>
      <c r="P41" s="216"/>
      <c r="Q41" s="217"/>
      <c r="S41" s="11"/>
    </row>
    <row r="42" spans="3:19" s="21" customFormat="1" ht="15" customHeight="1" x14ac:dyDescent="0.35">
      <c r="C42" s="152"/>
      <c r="D42" s="212"/>
      <c r="E42" s="118">
        <f>IFERROR(IF(G42="Yes",Sheet2!B37,0),"")</f>
        <v>0</v>
      </c>
      <c r="F42" s="118">
        <f>IFERROR(IF('OT Form'!G42="Yes",Sheet2!C37,0),"")</f>
        <v>0</v>
      </c>
      <c r="G42" s="117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IF(IFERROR(VLOOKUP($F$2,List!$A$70:$A$104,1,0),"")='OT Form'!$F$2,"",IF(Sheet2!F37="Yes","Yes","")),
IF(OR(C41="Monday",C41="Tuesday",C41="Wednesday",C41="Thursday",C41="Friday"),IF(IFERROR(VLOOKUP($F$2,List!$A$4:$A$42,1,0),"")='OT Form'!$F$2,"",IF(Sheet2!F37="Yes","Yes",""))))</f>
        <v/>
      </c>
      <c r="H42" s="130"/>
      <c r="I42" s="214"/>
      <c r="J42" s="215"/>
      <c r="K42" s="216"/>
      <c r="L42" s="216"/>
      <c r="M42" s="216"/>
      <c r="N42" s="216"/>
      <c r="O42" s="216"/>
      <c r="P42" s="216"/>
      <c r="Q42" s="217"/>
      <c r="S42" s="11"/>
    </row>
    <row r="43" spans="3:19" s="21" customFormat="1" ht="15" customHeight="1" x14ac:dyDescent="0.35">
      <c r="C43" s="154" t="str">
        <f t="shared" ref="C43" si="30">CHOOSE(WEEKDAY(D43),"Sunday","Monday","Tuesday","Wednesday","Thursday","Friday","Saturday")</f>
        <v>Monday</v>
      </c>
      <c r="D43" s="133">
        <f t="shared" ref="D43" si="31">D41+1</f>
        <v>44760</v>
      </c>
      <c r="E43" s="71">
        <f>IFERROR(IF(G43="Yes",Sheet2!B38,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,G44="Yes"),0,0)),"")</f>
        <v>0</v>
      </c>
      <c r="F43" s="71">
        <f>IFERROR(IF(E43=0,0,IF('OT Form'!G43="Yes",Sheet2!C38,0)),"")</f>
        <v>0</v>
      </c>
      <c r="G43" s="39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IF(IFERROR(VLOOKUP($F$2,List!$A$70:$A$104,1,0),"")='OT Form'!$F$2,"",IF(Sheet2!F38="Yes","Yes","")),
IF(OR(C43="Monday",C43="Tuesday",C43="Wednesday",C43="Thursday",C43="Friday"),IF(IFERROR(VLOOKUP($F$2,List!$A$4:$A$42,1,0),"")='OT Form'!$F$2,"",IF(Sheet2!F38="Yes","Yes",""))))</f>
        <v/>
      </c>
      <c r="H43" s="131">
        <f>IFERROR(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0,
IF($F$2="Seatech",
IF(AND(Sheet2!H38&gt;0,Sheet2!H38&lt;=8),8,
IF(AND(Sheet2!H38&gt;8,Sheet2!H38&lt;=16),16,
IF(AND(Sheet2!H38&gt;16,Sheet2!H38&lt;=24),24,""))),
IF($F$2="Rabobank",
IF(AND(Sheet2!F38="Yes",Sheet2!F39="No",Sheet2!D38&gt;0,Sheet2!D38&lt;=4),4,
IF(AND(Sheet2!F38="No",Sheet2!F39="Yes",Sheet2!D39&gt;0,Sheet2!D39&lt;=4),4,
IF(AND(Sheet2!F38="Yes",Sheet2!F39="Yes",Sheet2!H38&gt;0,Sheet2!H38&lt;=4),4,
IF(AND(Sheet2!F38="Yes",Sheet2!F39="",Sheet2!H38&gt;0,Sheet2!H38&lt;=4),4,
IF(AND(Sheet2!F38="",Sheet2!F39="Yes",Sheet2!H38&gt;0,Sheet2!H38&lt;=4),4,
IF(AND(Sheet2!F38="Yes",Sheet2!H38&gt;0,Sheet2!H38&lt;=4),4,
IF(AND(Sheet2!F38="Yes",Sheet2!F39="No",Sheet2!D38&gt;4,Sheet2!D38&lt;=8),8,
IF(AND(Sheet2!F38="No",Sheet2!F39="Yes",Sheet2!D39&gt;4,Sheet2!D39&lt;=8),8,
IF(AND(Sheet2!F38="Yes",Sheet2!F39="Yes",Sheet2!H38&gt;4,Sheet2!H38&lt;=8),8,
IF(AND(Sheet2!F38="",Sheet2!F39="Yes",Sheet2!D39&gt;4,Sheet2!D39&lt;=8),8,
IF(AND(Sheet2!F38="Yes",Sheet2!F39="",Sheet2!H38&gt;4,Sheet2!H38&lt;=8),8,
IF(AND(Sheet2!F38="Yes",Sheet2!D39&gt;4,Sheet2!D39&lt;=8),8,"")))))))))))),
SUM(IF(MINUTE(F43-E43)&gt;28,HOUR(F43-E43)+1,HOUR(F43-E43)),IF(MINUTE(F44-E44)&gt;28,HOUR(F44-E44)+1,HOUR(F44-E44)))))),"")</f>
        <v>0</v>
      </c>
      <c r="I43" s="206">
        <f>IFERROR(IF(E43=0,0,
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'Timesheet-Regular'!F45,0)),"")</f>
        <v>0</v>
      </c>
      <c r="J43" s="203"/>
      <c r="K43" s="204"/>
      <c r="L43" s="204"/>
      <c r="M43" s="204"/>
      <c r="N43" s="204"/>
      <c r="O43" s="204"/>
      <c r="P43" s="204"/>
      <c r="Q43" s="205"/>
      <c r="S43" s="11"/>
    </row>
    <row r="44" spans="3:19" s="21" customFormat="1" ht="15" customHeight="1" x14ac:dyDescent="0.35">
      <c r="C44" s="155"/>
      <c r="D44" s="134"/>
      <c r="E44" s="71">
        <f>IFERROR(IF(G44="Yes",Sheet2!B39,0),"")</f>
        <v>0</v>
      </c>
      <c r="F44" s="71">
        <f>IFERROR(IF('OT Form'!G44="Yes",Sheet2!C39,0),"")</f>
        <v>0</v>
      </c>
      <c r="G44" s="39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IF(IFERROR(VLOOKUP($F$2,List!$A$70:$A$104,1,0),"")='OT Form'!$F$2,"",IF(Sheet2!F39="Yes","Yes","")),
IF(OR(C43="Monday",C43="Tuesday",C43="Wednesday",C43="Thursday",C43="Friday"),IF(IFERROR(VLOOKUP($F$2,List!$A$4:$A$42,1,0),"")='OT Form'!$F$2,"",IF(Sheet2!F39="Yes","Yes",""))))</f>
        <v/>
      </c>
      <c r="H44" s="132"/>
      <c r="I44" s="207"/>
      <c r="J44" s="203"/>
      <c r="K44" s="204"/>
      <c r="L44" s="204"/>
      <c r="M44" s="204"/>
      <c r="N44" s="204"/>
      <c r="O44" s="204"/>
      <c r="P44" s="204"/>
      <c r="Q44" s="205"/>
      <c r="S44" s="11"/>
    </row>
    <row r="45" spans="3:19" s="21" customFormat="1" ht="15" customHeight="1" x14ac:dyDescent="0.35">
      <c r="C45" s="154" t="str">
        <f t="shared" ref="C45" si="32">CHOOSE(WEEKDAY(D45),"Sunday","Monday","Tuesday","Wednesday","Thursday","Friday","Saturday")</f>
        <v>Tuesday</v>
      </c>
      <c r="D45" s="133">
        <f t="shared" ref="D45" si="33">D43+1</f>
        <v>44761</v>
      </c>
      <c r="E45" s="71">
        <f>IFERROR(IF(G45="Yes",Sheet2!B40,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,G46="Yes"),0,0)),"")</f>
        <v>0</v>
      </c>
      <c r="F45" s="71">
        <f>IFERROR(IF(E45=0,0,IF('OT Form'!G45="Yes",Sheet2!C40,0)),"")</f>
        <v>0</v>
      </c>
      <c r="G45" s="39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IF(IFERROR(VLOOKUP($F$2,List!$A$70:$A$104,1,0),"")='OT Form'!$F$2,"",IF(Sheet2!F40="Yes","Yes","")),
IF(OR(C45="Monday",C45="Tuesday",C45="Wednesday",C45="Thursday",C45="Friday"),IF(IFERROR(VLOOKUP($F$2,List!$A$4:$A$42,1,0),"")='OT Form'!$F$2,"",IF(Sheet2!F40="Yes","Yes",""))))</f>
        <v/>
      </c>
      <c r="H45" s="131">
        <f>IFERROR(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0,
IF($F$2="Seatech",
IF(AND(Sheet2!H40&gt;0,Sheet2!H40&lt;=8),8,
IF(AND(Sheet2!H40&gt;8,Sheet2!H40&lt;=16),16,
IF(AND(Sheet2!H40&gt;16,Sheet2!H40&lt;=24),24,""))),
IF($F$2="Rabobank",
IF(AND(Sheet2!F40="Yes",Sheet2!F41="No",Sheet2!D40&gt;0,Sheet2!D40&lt;=4),4,
IF(AND(Sheet2!F40="No",Sheet2!F41="Yes",Sheet2!D41&gt;0,Sheet2!D41&lt;=4),4,
IF(AND(Sheet2!F40="Yes",Sheet2!F41="Yes",Sheet2!H40&gt;0,Sheet2!H40&lt;=4),4,
IF(AND(Sheet2!F40="Yes",Sheet2!F41="",Sheet2!H40&gt;0,Sheet2!H40&lt;=4),4,
IF(AND(Sheet2!F40="",Sheet2!F41="Yes",Sheet2!H40&gt;0,Sheet2!H40&lt;=4),4,
IF(AND(Sheet2!F40="Yes",Sheet2!H40&gt;0,Sheet2!H40&lt;=4),4,
IF(AND(Sheet2!F40="Yes",Sheet2!F41="No",Sheet2!D40&gt;4,Sheet2!D40&lt;=8),8,
IF(AND(Sheet2!F40="No",Sheet2!F41="Yes",Sheet2!D41&gt;4,Sheet2!D41&lt;=8),8,
IF(AND(Sheet2!F40="Yes",Sheet2!F41="Yes",Sheet2!H40&gt;4,Sheet2!H40&lt;=8),8,
IF(AND(Sheet2!F40="",Sheet2!F41="Yes",Sheet2!D41&gt;4,Sheet2!D41&lt;=8),8,
IF(AND(Sheet2!F40="Yes",Sheet2!F41="",Sheet2!H40&gt;4,Sheet2!H40&lt;=8),8,
IF(AND(Sheet2!F40="Yes",Sheet2!D41&gt;4,Sheet2!D41&lt;=8),8,"")))))))))))),
SUM(IF(MINUTE(F45-E45)&gt;28,HOUR(F45-E45)+1,HOUR(F45-E45)),IF(MINUTE(F46-E46)&gt;28,HOUR(F46-E46)+1,HOUR(F46-E46)))))),"")</f>
        <v>0</v>
      </c>
      <c r="I45" s="206">
        <f>IFERROR(IF(E45=0,0,
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'Timesheet-Regular'!F47,0)),"")</f>
        <v>0</v>
      </c>
      <c r="J45" s="203"/>
      <c r="K45" s="204"/>
      <c r="L45" s="204"/>
      <c r="M45" s="204"/>
      <c r="N45" s="204"/>
      <c r="O45" s="204"/>
      <c r="P45" s="204"/>
      <c r="Q45" s="205"/>
      <c r="S45" s="11"/>
    </row>
    <row r="46" spans="3:19" s="21" customFormat="1" ht="15" customHeight="1" x14ac:dyDescent="0.35">
      <c r="C46" s="155"/>
      <c r="D46" s="134"/>
      <c r="E46" s="71">
        <f>IFERROR(IF(G46="Yes",Sheet2!B41,0),"")</f>
        <v>0</v>
      </c>
      <c r="F46" s="71">
        <f>IFERROR(IF('OT Form'!G46="Yes",Sheet2!C41,0),"")</f>
        <v>0</v>
      </c>
      <c r="G46" s="39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IF(IFERROR(VLOOKUP($F$2,List!$A$70:$A$104,1,0),"")='OT Form'!$F$2,"",IF(Sheet2!F41="Yes","Yes","")),
IF(OR(C45="Monday",C45="Tuesday",C45="Wednesday",C45="Thursday",C45="Friday"),IF(IFERROR(VLOOKUP($F$2,List!$A$4:$A$42,1,0),"")='OT Form'!$F$2,"",IF(Sheet2!F41="Yes","Yes",""))))</f>
        <v/>
      </c>
      <c r="H46" s="132"/>
      <c r="I46" s="207"/>
      <c r="J46" s="203"/>
      <c r="K46" s="204"/>
      <c r="L46" s="204"/>
      <c r="M46" s="204"/>
      <c r="N46" s="204"/>
      <c r="O46" s="204"/>
      <c r="P46" s="204"/>
      <c r="Q46" s="205"/>
      <c r="S46" s="11"/>
    </row>
    <row r="47" spans="3:19" s="21" customFormat="1" ht="15" customHeight="1" x14ac:dyDescent="0.35">
      <c r="C47" s="154" t="str">
        <f t="shared" ref="C47" si="34">CHOOSE(WEEKDAY(D47),"Sunday","Monday","Tuesday","Wednesday","Thursday","Friday","Saturday")</f>
        <v>Wednesday</v>
      </c>
      <c r="D47" s="133">
        <f t="shared" ref="D47" si="35">D45+1</f>
        <v>44762</v>
      </c>
      <c r="E47" s="71">
        <f>IFERROR(IF(G47="Yes",Sheet2!B42,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,G48="Yes"),0,0)),"")</f>
        <v>0</v>
      </c>
      <c r="F47" s="71">
        <f>IFERROR(IF(E47=0,0,IF('OT Form'!G47="Yes",Sheet2!C42,0)),"")</f>
        <v>0</v>
      </c>
      <c r="G47" s="39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IF(IFERROR(VLOOKUP($F$2,List!$A$70:$A$104,1,0),"")='OT Form'!$F$2,"",IF(Sheet2!F42="Yes","Yes","")),
IF(OR(C47="Monday",C47="Tuesday",C47="Wednesday",C47="Thursday",C47="Friday"),IF(IFERROR(VLOOKUP($F$2,List!$A$4:$A$42,1,0),"")='OT Form'!$F$2,"",IF(Sheet2!F42="Yes","Yes",""))))</f>
        <v/>
      </c>
      <c r="H47" s="131">
        <f>IFERROR(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0,
IF($F$2="Seatech",
IF(AND(Sheet2!H42&gt;0,Sheet2!H42&lt;=8),8,
IF(AND(Sheet2!H42&gt;8,Sheet2!H42&lt;=16),16,
IF(AND(Sheet2!H42&gt;16,Sheet2!H42&lt;=24),24,""))),
IF($F$2="Rabobank",
IF(AND(Sheet2!F42="Yes",Sheet2!F43="No",Sheet2!D42&gt;0,Sheet2!D42&lt;=4),4,
IF(AND(Sheet2!F42="No",Sheet2!F43="Yes",Sheet2!D43&gt;0,Sheet2!D43&lt;=4),4,
IF(AND(Sheet2!F42="Yes",Sheet2!F43="Yes",Sheet2!H42&gt;0,Sheet2!H42&lt;=4),4,
IF(AND(Sheet2!F42="Yes",Sheet2!F43="",Sheet2!H42&gt;0,Sheet2!H42&lt;=4),4,
IF(AND(Sheet2!F42="",Sheet2!F43="Yes",Sheet2!H42&gt;0,Sheet2!H42&lt;=4),4,
IF(AND(Sheet2!F42="Yes",Sheet2!H42&gt;0,Sheet2!H42&lt;=4),4,
IF(AND(Sheet2!F42="Yes",Sheet2!F43="No",Sheet2!D42&gt;4,Sheet2!D42&lt;=8),8,
IF(AND(Sheet2!F42="No",Sheet2!F43="Yes",Sheet2!D43&gt;4,Sheet2!D43&lt;=8),8,
IF(AND(Sheet2!F42="Yes",Sheet2!F43="Yes",Sheet2!H42&gt;4,Sheet2!H42&lt;=8),8,
IF(AND(Sheet2!F42="",Sheet2!F43="Yes",Sheet2!D43&gt;4,Sheet2!D43&lt;=8),8,
IF(AND(Sheet2!F42="Yes",Sheet2!F43="",Sheet2!H42&gt;4,Sheet2!H42&lt;=8),8,
IF(AND(Sheet2!F42="Yes",Sheet2!D43&gt;4,Sheet2!D43&lt;=8),8,"")))))))))))),
SUM(IF(MINUTE(F47-E47)&gt;28,HOUR(F47-E47)+1,HOUR(F47-E47)),IF(MINUTE(F48-E48)&gt;28,HOUR(F48-E48)+1,HOUR(F48-E48)))))),"")</f>
        <v>0</v>
      </c>
      <c r="I47" s="206">
        <f>IFERROR(IF(E47=0,0,
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'Timesheet-Regular'!F49,0)),"")</f>
        <v>0</v>
      </c>
      <c r="J47" s="203"/>
      <c r="K47" s="204"/>
      <c r="L47" s="204"/>
      <c r="M47" s="204"/>
      <c r="N47" s="204"/>
      <c r="O47" s="204"/>
      <c r="P47" s="204"/>
      <c r="Q47" s="205"/>
      <c r="S47" s="11"/>
    </row>
    <row r="48" spans="3:19" s="21" customFormat="1" ht="15" customHeight="1" x14ac:dyDescent="0.35">
      <c r="C48" s="155"/>
      <c r="D48" s="134"/>
      <c r="E48" s="71">
        <f>IFERROR(IF(G48="Yes",Sheet2!B43,0),"")</f>
        <v>0</v>
      </c>
      <c r="F48" s="71">
        <f>IFERROR(IF('OT Form'!G48="Yes",Sheet2!C43,0),"")</f>
        <v>0</v>
      </c>
      <c r="G48" s="39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IF(IFERROR(VLOOKUP($F$2,List!$A$70:$A$104,1,0),"")='OT Form'!$F$2,"",IF(Sheet2!F43="Yes","Yes","")),
IF(OR(C47="Monday",C47="Tuesday",C47="Wednesday",C47="Thursday",C47="Friday"),IF(IFERROR(VLOOKUP($F$2,List!$A$4:$A$42,1,0),"")='OT Form'!$F$2,"",IF(Sheet2!F43="Yes","Yes",""))))</f>
        <v/>
      </c>
      <c r="H48" s="132"/>
      <c r="I48" s="207"/>
      <c r="J48" s="203"/>
      <c r="K48" s="204"/>
      <c r="L48" s="204"/>
      <c r="M48" s="204"/>
      <c r="N48" s="204"/>
      <c r="O48" s="204"/>
      <c r="P48" s="204"/>
      <c r="Q48" s="205"/>
      <c r="S48" s="11"/>
    </row>
    <row r="49" spans="3:19" s="21" customFormat="1" ht="15" customHeight="1" x14ac:dyDescent="0.35">
      <c r="C49" s="154" t="str">
        <f t="shared" ref="C49" si="36">CHOOSE(WEEKDAY(D49),"Sunday","Monday","Tuesday","Wednesday","Thursday","Friday","Saturday")</f>
        <v>Thursday</v>
      </c>
      <c r="D49" s="133">
        <f t="shared" ref="D49" si="37">D47+1</f>
        <v>44763</v>
      </c>
      <c r="E49" s="71">
        <f>IFERROR(IF(G49="Yes",Sheet2!B44,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,G50="Yes"),0,0)),"")</f>
        <v>0</v>
      </c>
      <c r="F49" s="71">
        <f>IFERROR(IF(E49=0,0,IF('OT Form'!G49="Yes",Sheet2!C44,0)),"")</f>
        <v>0</v>
      </c>
      <c r="G49" s="39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IF(IFERROR(VLOOKUP($F$2,List!$A$70:$A$104,1,0),"")='OT Form'!$F$2,"",IF(Sheet2!F44="Yes","Yes","")),
IF(OR(C49="Monday",C49="Tuesday",C49="Wednesday",C49="Thursday",C49="Friday"),IF(IFERROR(VLOOKUP($F$2,List!$A$4:$A$42,1,0),"")='OT Form'!$F$2,"",IF(Sheet2!F44="Yes","Yes",""))))</f>
        <v/>
      </c>
      <c r="H49" s="131">
        <f>IFERROR(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0,
IF($F$2="Seatech",
IF(AND(Sheet2!H44&gt;0,Sheet2!H44&lt;=8),8,
IF(AND(Sheet2!H44&gt;8,Sheet2!H44&lt;=16),16,
IF(AND(Sheet2!H44&gt;16,Sheet2!H44&lt;=24),24,""))),
IF($F$2="Rabobank",
IF(AND(Sheet2!F44="Yes",Sheet2!F45="No",Sheet2!D44&gt;0,Sheet2!D44&lt;=4),4,
IF(AND(Sheet2!F44="No",Sheet2!F45="Yes",Sheet2!D45&gt;0,Sheet2!D45&lt;=4),4,
IF(AND(Sheet2!F44="Yes",Sheet2!F45="Yes",Sheet2!H44&gt;0,Sheet2!H44&lt;=4),4,
IF(AND(Sheet2!F44="Yes",Sheet2!F45="",Sheet2!H44&gt;0,Sheet2!H44&lt;=4),4,
IF(AND(Sheet2!F44="",Sheet2!F45="Yes",Sheet2!H44&gt;0,Sheet2!H44&lt;=4),4,
IF(AND(Sheet2!F44="Yes",Sheet2!H44&gt;0,Sheet2!H44&lt;=4),4,
IF(AND(Sheet2!F44="Yes",Sheet2!F45="No",Sheet2!D44&gt;4,Sheet2!D44&lt;=8),8,
IF(AND(Sheet2!F44="No",Sheet2!F45="Yes",Sheet2!D45&gt;4,Sheet2!D45&lt;=8),8,
IF(AND(Sheet2!F44="Yes",Sheet2!F45="Yes",Sheet2!H44&gt;4,Sheet2!H44&lt;=8),8,
IF(AND(Sheet2!F44="",Sheet2!F45="Yes",Sheet2!D45&gt;4,Sheet2!D45&lt;=8),8,
IF(AND(Sheet2!F44="Yes",Sheet2!F45="",Sheet2!H44&gt;4,Sheet2!H44&lt;=8),8,
IF(AND(Sheet2!F44="Yes",Sheet2!D45&gt;4,Sheet2!D45&lt;=8),8,"")))))))))))),
SUM(IF(MINUTE(F49-E49)&gt;28,HOUR(F49-E49)+1,HOUR(F49-E49)),IF(MINUTE(F50-E50)&gt;28,HOUR(F50-E50)+1,HOUR(F50-E50)))))),"")</f>
        <v>0</v>
      </c>
      <c r="I49" s="206">
        <f>IFERROR(IF(E49=0,0,
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'Timesheet-Regular'!F51,0)),"")</f>
        <v>0</v>
      </c>
      <c r="J49" s="203"/>
      <c r="K49" s="204"/>
      <c r="L49" s="204"/>
      <c r="M49" s="204"/>
      <c r="N49" s="204"/>
      <c r="O49" s="204"/>
      <c r="P49" s="204"/>
      <c r="Q49" s="205"/>
      <c r="S49" s="11"/>
    </row>
    <row r="50" spans="3:19" s="21" customFormat="1" ht="15" customHeight="1" x14ac:dyDescent="0.35">
      <c r="C50" s="155"/>
      <c r="D50" s="134"/>
      <c r="E50" s="71">
        <f>IFERROR(IF(G50="Yes",Sheet2!B45,0),"")</f>
        <v>0</v>
      </c>
      <c r="F50" s="71">
        <f>IFERROR(IF('OT Form'!G50="Yes",Sheet2!C45,0),"")</f>
        <v>0</v>
      </c>
      <c r="G50" s="39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IF(IFERROR(VLOOKUP($F$2,List!$A$70:$A$104,1,0),"")='OT Form'!$F$2,"",IF(Sheet2!F45="Yes","Yes","")),
IF(OR(C49="Monday",C49="Tuesday",C49="Wednesday",C49="Thursday",C49="Friday"),IF(IFERROR(VLOOKUP($F$2,List!$A$4:$A$42,1,0),"")='OT Form'!$F$2,"",IF(Sheet2!F45="Yes","Yes",""))))</f>
        <v/>
      </c>
      <c r="H50" s="132"/>
      <c r="I50" s="207"/>
      <c r="J50" s="203"/>
      <c r="K50" s="204"/>
      <c r="L50" s="204"/>
      <c r="M50" s="204"/>
      <c r="N50" s="204"/>
      <c r="O50" s="204"/>
      <c r="P50" s="204"/>
      <c r="Q50" s="205"/>
      <c r="S50" s="11"/>
    </row>
    <row r="51" spans="3:19" s="21" customFormat="1" ht="15" customHeight="1" x14ac:dyDescent="0.35">
      <c r="C51" s="154" t="str">
        <f t="shared" ref="C51" si="38">CHOOSE(WEEKDAY(D51),"Sunday","Monday","Tuesday","Wednesday","Thursday","Friday","Saturday")</f>
        <v>Friday</v>
      </c>
      <c r="D51" s="133">
        <f t="shared" ref="D51" si="39">D49+1</f>
        <v>44764</v>
      </c>
      <c r="E51" s="71">
        <f>IFERROR(IF(G51="Yes",Sheet2!B46,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,G52="Yes"),0,0)),"")</f>
        <v>0</v>
      </c>
      <c r="F51" s="71">
        <f>IFERROR(IF(E51=0,0,IF('OT Form'!G51="Yes",Sheet2!C46,0)),"")</f>
        <v>0</v>
      </c>
      <c r="G51" s="39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IF(IFERROR(VLOOKUP($F$2,List!$A$70:$A$104,1,0),"")='OT Form'!$F$2,"",IF(Sheet2!F46="Yes","Yes","")),
IF(OR(C51="Monday",C51="Tuesday",C51="Wednesday",C51="Thursday",C51="Friday"),IF(IFERROR(VLOOKUP($F$2,List!$A$4:$A$42,1,0),"")='OT Form'!$F$2,"",IF(Sheet2!F46="Yes","Yes",""))))</f>
        <v/>
      </c>
      <c r="H51" s="131">
        <f>IFERROR(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0,
IF($F$2="Seatech",
IF(AND(Sheet2!H46&gt;0,Sheet2!H46&lt;=8),8,
IF(AND(Sheet2!H46&gt;8,Sheet2!H46&lt;=16),16,
IF(AND(Sheet2!H46&gt;16,Sheet2!H46&lt;=24),24,""))),
IF($F$2="Rabobank",
IF(AND(Sheet2!F46="Yes",Sheet2!F47="No",Sheet2!D46&gt;0,Sheet2!D46&lt;=4),4,
IF(AND(Sheet2!F46="No",Sheet2!F47="Yes",Sheet2!D47&gt;0,Sheet2!D47&lt;=4),4,
IF(AND(Sheet2!F46="Yes",Sheet2!F47="Yes",Sheet2!H46&gt;0,Sheet2!H46&lt;=4),4,
IF(AND(Sheet2!F46="Yes",Sheet2!F47="",Sheet2!H46&gt;0,Sheet2!H46&lt;=4),4,
IF(AND(Sheet2!F46="",Sheet2!F47="Yes",Sheet2!H46&gt;0,Sheet2!H46&lt;=4),4,
IF(AND(Sheet2!F46="Yes",Sheet2!H46&gt;0,Sheet2!H46&lt;=4),4,
IF(AND(Sheet2!F46="Yes",Sheet2!F47="No",Sheet2!D46&gt;4,Sheet2!D46&lt;=8),8,
IF(AND(Sheet2!F46="No",Sheet2!F47="Yes",Sheet2!D47&gt;4,Sheet2!D47&lt;=8),8,
IF(AND(Sheet2!F46="Yes",Sheet2!F47="Yes",Sheet2!H46&gt;4,Sheet2!H46&lt;=8),8,
IF(AND(Sheet2!F46="",Sheet2!F47="Yes",Sheet2!D47&gt;4,Sheet2!D47&lt;=8),8,
IF(AND(Sheet2!F46="Yes",Sheet2!F47="",Sheet2!H46&gt;4,Sheet2!H46&lt;=8),8,
IF(AND(Sheet2!F46="Yes",Sheet2!D47&gt;4,Sheet2!D47&lt;=8),8,"")))))))))))),
SUM(IF(MINUTE(F51-E51)&gt;28,HOUR(F51-E51)+1,HOUR(F51-E51)),IF(MINUTE(F52-E52)&gt;28,HOUR(F52-E52)+1,HOUR(F52-E52)))))),"")</f>
        <v>0</v>
      </c>
      <c r="I51" s="206">
        <f>IFERROR(IF(E51=0,0,
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'Timesheet-Regular'!F53,0)),"")</f>
        <v>0</v>
      </c>
      <c r="J51" s="203"/>
      <c r="K51" s="204"/>
      <c r="L51" s="204"/>
      <c r="M51" s="204"/>
      <c r="N51" s="204"/>
      <c r="O51" s="204"/>
      <c r="P51" s="204"/>
      <c r="Q51" s="205"/>
      <c r="S51" s="11"/>
    </row>
    <row r="52" spans="3:19" s="21" customFormat="1" ht="15" customHeight="1" x14ac:dyDescent="0.35">
      <c r="C52" s="155"/>
      <c r="D52" s="134"/>
      <c r="E52" s="71">
        <f>IFERROR(IF(G52="Yes",Sheet2!B47,0),"")</f>
        <v>0</v>
      </c>
      <c r="F52" s="71">
        <f>IFERROR(IF('OT Form'!G52="Yes",Sheet2!C47,0),"")</f>
        <v>0</v>
      </c>
      <c r="G52" s="39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IF(IFERROR(VLOOKUP($F$2,List!$A$70:$A$104,1,0),"")='OT Form'!$F$2,"",IF(Sheet2!F47="Yes","Yes","")),
IF(OR(C51="Monday",C51="Tuesday",C51="Wednesday",C51="Thursday",C51="Friday"),IF(IFERROR(VLOOKUP($F$2,List!$A$4:$A$42,1,0),"")='OT Form'!$F$2,"",IF(Sheet2!F47="Yes","Yes",""))))</f>
        <v/>
      </c>
      <c r="H52" s="132"/>
      <c r="I52" s="207"/>
      <c r="J52" s="203"/>
      <c r="K52" s="204"/>
      <c r="L52" s="204"/>
      <c r="M52" s="204"/>
      <c r="N52" s="204"/>
      <c r="O52" s="204"/>
      <c r="P52" s="204"/>
      <c r="Q52" s="205"/>
      <c r="S52" s="11"/>
    </row>
    <row r="53" spans="3:19" s="21" customFormat="1" ht="15" customHeight="1" x14ac:dyDescent="0.35">
      <c r="C53" s="151" t="str">
        <f t="shared" ref="C53" si="40">CHOOSE(WEEKDAY(D53),"Sunday","Monday","Tuesday","Wednesday","Thursday","Friday","Saturday")</f>
        <v>Saturday</v>
      </c>
      <c r="D53" s="211">
        <f t="shared" ref="D53" si="41">D51+1</f>
        <v>44765</v>
      </c>
      <c r="E53" s="118">
        <f>IFERROR(IF(G53="Yes",Sheet2!B48,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,G54="Yes"),0,0)),"")</f>
        <v>0</v>
      </c>
      <c r="F53" s="118">
        <f>IFERROR(IF(E53=0,0,IF('OT Form'!G53="Yes",Sheet2!C48,0)),"")</f>
        <v>0</v>
      </c>
      <c r="G53" s="117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IF(IFERROR(VLOOKUP($F$2,List!$A$70:$A$104,1,0),"")='OT Form'!$F$2,"",IF(Sheet2!F48="Yes","Yes","")),
IF(OR(C53="Monday",C53="Tuesday",C53="Wednesday",C53="Thursday",C53="Friday"),IF(IFERROR(VLOOKUP($F$2,List!$A$4:$A$42,1,0),"")='OT Form'!$F$2,"",IF(Sheet2!F48="Yes","Yes",""))))</f>
        <v/>
      </c>
      <c r="H53" s="129">
        <f>IFERROR(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0,
IF($F$2="Seatech",
IF(AND(Sheet2!H48&gt;0,Sheet2!H48&lt;=8),8,
IF(AND(Sheet2!H48&gt;8,Sheet2!H48&lt;=16),16,
IF(AND(Sheet2!H48&gt;16,Sheet2!H48&lt;=24),24,""))),
IF($F$2="Rabobank",
IF(AND(Sheet2!F48="Yes",Sheet2!F49="No",Sheet2!D48&gt;0,Sheet2!D48&lt;=4),4,
IF(AND(Sheet2!F48="No",Sheet2!F49="Yes",Sheet2!D49&gt;0,Sheet2!D49&lt;=4),4,
IF(AND(Sheet2!F48="Yes",Sheet2!F49="Yes",Sheet2!H48&gt;0,Sheet2!H48&lt;=4),4,
IF(AND(Sheet2!F48="Yes",Sheet2!F49="",Sheet2!H48&gt;0,Sheet2!H48&lt;=4),4,
IF(AND(Sheet2!F48="",Sheet2!F49="Yes",Sheet2!H48&gt;0,Sheet2!H48&lt;=4),4,
IF(AND(Sheet2!F48="Yes",Sheet2!H48&gt;0,Sheet2!H48&lt;=4),4,
IF(AND(Sheet2!F48="Yes",Sheet2!F49="No",Sheet2!D48&gt;4,Sheet2!D48&lt;=8),8,
IF(AND(Sheet2!F48="No",Sheet2!F49="Yes",Sheet2!D49&gt;4,Sheet2!D49&lt;=8),8,
IF(AND(Sheet2!F48="Yes",Sheet2!F49="Yes",Sheet2!H48&gt;4,Sheet2!H48&lt;=8),8,
IF(AND(Sheet2!F48="",Sheet2!F49="Yes",Sheet2!D49&gt;4,Sheet2!D49&lt;=8),8,
IF(AND(Sheet2!F48="Yes",Sheet2!F49="",Sheet2!H48&gt;4,Sheet2!H48&lt;=8),8,
IF(AND(Sheet2!F48="Yes",Sheet2!D49&gt;4,Sheet2!D49&lt;=8),8,"")))))))))))),
SUM(IF(MINUTE(F53-E53)&gt;28,HOUR(F53-E53)+1,HOUR(F53-E53)),IF(MINUTE(F54-E54)&gt;28,HOUR(F54-E54)+1,HOUR(F54-E54)))))),"")</f>
        <v>0</v>
      </c>
      <c r="I53" s="213">
        <f>IFERROR(IF(E53=0,0,
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'Timesheet-Regular'!F55,0)),"")</f>
        <v>0</v>
      </c>
      <c r="J53" s="215"/>
      <c r="K53" s="216"/>
      <c r="L53" s="216"/>
      <c r="M53" s="216"/>
      <c r="N53" s="216"/>
      <c r="O53" s="216"/>
      <c r="P53" s="216"/>
      <c r="Q53" s="217"/>
      <c r="S53" s="11"/>
    </row>
    <row r="54" spans="3:19" s="21" customFormat="1" ht="15" customHeight="1" x14ac:dyDescent="0.35">
      <c r="C54" s="152"/>
      <c r="D54" s="212"/>
      <c r="E54" s="118">
        <f>IFERROR(IF(G54="Yes",Sheet2!B49,0),"")</f>
        <v>0</v>
      </c>
      <c r="F54" s="118">
        <f>IFERROR(IF('OT Form'!G54="Yes",Sheet2!C49,0),"")</f>
        <v>0</v>
      </c>
      <c r="G54" s="117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IF(IFERROR(VLOOKUP($F$2,List!$A$70:$A$104,1,0),"")='OT Form'!$F$2,"",IF(Sheet2!F49="Yes","Yes","")),
IF(OR(C53="Monday",C53="Tuesday",C53="Wednesday",C53="Thursday",C53="Friday"),IF(IFERROR(VLOOKUP($F$2,List!$A$4:$A$42,1,0),"")='OT Form'!$F$2,"",IF(Sheet2!F49="Yes","Yes",""))))</f>
        <v/>
      </c>
      <c r="H54" s="130"/>
      <c r="I54" s="214"/>
      <c r="J54" s="215"/>
      <c r="K54" s="216"/>
      <c r="L54" s="216"/>
      <c r="M54" s="216"/>
      <c r="N54" s="216"/>
      <c r="O54" s="216"/>
      <c r="P54" s="216"/>
      <c r="Q54" s="217"/>
      <c r="S54" s="11"/>
    </row>
    <row r="55" spans="3:19" s="21" customFormat="1" ht="15" customHeight="1" x14ac:dyDescent="0.35">
      <c r="C55" s="151" t="str">
        <f t="shared" ref="C55" si="42">CHOOSE(WEEKDAY(D55),"Sunday","Monday","Tuesday","Wednesday","Thursday","Friday","Saturday")</f>
        <v>Sunday</v>
      </c>
      <c r="D55" s="211">
        <f t="shared" ref="D55" si="43">D53+1</f>
        <v>44766</v>
      </c>
      <c r="E55" s="118">
        <f>IFERROR(IF(G55="Yes",Sheet2!B50,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,G56="Yes"),0,0)),"")</f>
        <v>0</v>
      </c>
      <c r="F55" s="118">
        <f>IFERROR(IF(E55=0,0,IF('OT Form'!G55="Yes",Sheet2!C50,0)),"")</f>
        <v>0</v>
      </c>
      <c r="G55" s="117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IF(IFERROR(VLOOKUP($F$2,List!$A$70:$A$104,1,0),"")='OT Form'!$F$2,"",IF(Sheet2!F50="Yes","Yes","")),
IF(OR(C55="Monday",C55="Tuesday",C55="Wednesday",C55="Thursday",C55="Friday"),IF(IFERROR(VLOOKUP($F$2,List!$A$4:$A$42,1,0),"")='OT Form'!$F$2,"",IF(Sheet2!F50="Yes","Yes",""))))</f>
        <v/>
      </c>
      <c r="H55" s="129">
        <f>IFERROR(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0,
IF($F$2="Seatech",
IF(AND(Sheet2!H50&gt;0,Sheet2!H50&lt;=8),8,
IF(AND(Sheet2!H50&gt;8,Sheet2!H50&lt;=16),16,
IF(AND(Sheet2!H50&gt;16,Sheet2!H50&lt;=24),24,""))),
IF($F$2="Rabobank",
IF(AND(Sheet2!F50="Yes",Sheet2!F51="No",Sheet2!D50&gt;0,Sheet2!D50&lt;=4),4,
IF(AND(Sheet2!F50="No",Sheet2!F51="Yes",Sheet2!D51&gt;0,Sheet2!D51&lt;=4),4,
IF(AND(Sheet2!F50="Yes",Sheet2!F51="Yes",Sheet2!H50&gt;0,Sheet2!H50&lt;=4),4,
IF(AND(Sheet2!F50="Yes",Sheet2!F51="",Sheet2!H50&gt;0,Sheet2!H50&lt;=4),4,
IF(AND(Sheet2!F50="",Sheet2!F51="Yes",Sheet2!H50&gt;0,Sheet2!H50&lt;=4),4,
IF(AND(Sheet2!F50="Yes",Sheet2!H50&gt;0,Sheet2!H50&lt;=4),4,
IF(AND(Sheet2!F50="Yes",Sheet2!F51="No",Sheet2!D50&gt;4,Sheet2!D50&lt;=8),8,
IF(AND(Sheet2!F50="No",Sheet2!F51="Yes",Sheet2!D51&gt;4,Sheet2!D51&lt;=8),8,
IF(AND(Sheet2!F50="Yes",Sheet2!F51="Yes",Sheet2!H50&gt;4,Sheet2!H50&lt;=8),8,
IF(AND(Sheet2!F50="",Sheet2!F51="Yes",Sheet2!D51&gt;4,Sheet2!D51&lt;=8),8,
IF(AND(Sheet2!F50="Yes",Sheet2!F51="",Sheet2!H50&gt;4,Sheet2!H50&lt;=8),8,
IF(AND(Sheet2!F50="Yes",Sheet2!D51&gt;4,Sheet2!D51&lt;=8),8,"")))))))))))),
SUM(IF(MINUTE(F55-E55)&gt;28,HOUR(F55-E55)+1,HOUR(F55-E55)),IF(MINUTE(F56-E56)&gt;28,HOUR(F56-E56)+1,HOUR(F56-E56)))))),"")</f>
        <v>0</v>
      </c>
      <c r="I55" s="213">
        <f>IFERROR(IF(E55=0,0,
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'Timesheet-Regular'!F57,0)),"")</f>
        <v>0</v>
      </c>
      <c r="J55" s="215"/>
      <c r="K55" s="216"/>
      <c r="L55" s="216"/>
      <c r="M55" s="216"/>
      <c r="N55" s="216"/>
      <c r="O55" s="216"/>
      <c r="P55" s="216"/>
      <c r="Q55" s="217"/>
      <c r="S55" s="11"/>
    </row>
    <row r="56" spans="3:19" s="21" customFormat="1" ht="15" customHeight="1" x14ac:dyDescent="0.35">
      <c r="C56" s="152"/>
      <c r="D56" s="212"/>
      <c r="E56" s="118">
        <f>IFERROR(IF(G56="Yes",Sheet2!B51,0),"")</f>
        <v>0</v>
      </c>
      <c r="F56" s="118">
        <f>IFERROR(IF('OT Form'!G56="Yes",Sheet2!C51,0),"")</f>
        <v>0</v>
      </c>
      <c r="G56" s="117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IF(IFERROR(VLOOKUP($F$2,List!$A$70:$A$104,1,0),"")='OT Form'!$F$2,"",IF(Sheet2!F51="Yes","Yes","")),
IF(OR(C55="Monday",C55="Tuesday",C55="Wednesday",C55="Thursday",C55="Friday"),IF(IFERROR(VLOOKUP($F$2,List!$A$4:$A$42,1,0),"")='OT Form'!$F$2,"",IF(Sheet2!F51="Yes","Yes",""))))</f>
        <v/>
      </c>
      <c r="H56" s="130"/>
      <c r="I56" s="214"/>
      <c r="J56" s="215"/>
      <c r="K56" s="216"/>
      <c r="L56" s="216"/>
      <c r="M56" s="216"/>
      <c r="N56" s="216"/>
      <c r="O56" s="216"/>
      <c r="P56" s="216"/>
      <c r="Q56" s="217"/>
      <c r="S56" s="11"/>
    </row>
    <row r="57" spans="3:19" s="21" customFormat="1" ht="15" customHeight="1" x14ac:dyDescent="0.35">
      <c r="C57" s="154" t="str">
        <f t="shared" ref="C57" si="44">CHOOSE(WEEKDAY(D57),"Sunday","Monday","Tuesday","Wednesday","Thursday","Friday","Saturday")</f>
        <v>Monday</v>
      </c>
      <c r="D57" s="133">
        <f t="shared" ref="D57" si="45">D55+1</f>
        <v>44767</v>
      </c>
      <c r="E57" s="71">
        <f>IFERROR(IF(G57="Yes",Sheet2!B52,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,G58="Yes"),0,0)),"")</f>
        <v>0</v>
      </c>
      <c r="F57" s="71">
        <f>IFERROR(IF(E57=0,0,IF('OT Form'!G57="Yes",Sheet2!C52,0)),"")</f>
        <v>0</v>
      </c>
      <c r="G57" s="39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IF(IFERROR(VLOOKUP($F$2,List!$A$70:$A$104,1,0),"")='OT Form'!$F$2,"",IF(Sheet2!F52="Yes","Yes","")),
IF(OR(C57="Monday",C57="Tuesday",C57="Wednesday",C57="Thursday",C57="Friday"),IF(IFERROR(VLOOKUP($F$2,List!$A$4:$A$42,1,0),"")='OT Form'!$F$2,"",IF(Sheet2!F52="Yes","Yes",""))))</f>
        <v/>
      </c>
      <c r="H57" s="131">
        <f>IFERROR(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0,
IF($F$2="Seatech",
IF(AND(Sheet2!H52&gt;0,Sheet2!H52&lt;=8),8,
IF(AND(Sheet2!H52&gt;8,Sheet2!H52&lt;=16),16,
IF(AND(Sheet2!H52&gt;16,Sheet2!H52&lt;=24),24,""))),
IF($F$2="Rabobank",
IF(AND(Sheet2!F52="Yes",Sheet2!F53="No",Sheet2!D52&gt;0,Sheet2!D52&lt;=4),4,
IF(AND(Sheet2!F52="No",Sheet2!F53="Yes",Sheet2!D53&gt;0,Sheet2!D53&lt;=4),4,
IF(AND(Sheet2!F52="Yes",Sheet2!F53="Yes",Sheet2!H52&gt;0,Sheet2!H52&lt;=4),4,
IF(AND(Sheet2!F52="Yes",Sheet2!F53="",Sheet2!H52&gt;0,Sheet2!H52&lt;=4),4,
IF(AND(Sheet2!F52="",Sheet2!F53="Yes",Sheet2!H52&gt;0,Sheet2!H52&lt;=4),4,
IF(AND(Sheet2!F52="Yes",Sheet2!H52&gt;0,Sheet2!H52&lt;=4),4,
IF(AND(Sheet2!F52="Yes",Sheet2!F53="No",Sheet2!D52&gt;4,Sheet2!D52&lt;=8),8,
IF(AND(Sheet2!F52="No",Sheet2!F53="Yes",Sheet2!D53&gt;4,Sheet2!D53&lt;=8),8,
IF(AND(Sheet2!F52="Yes",Sheet2!F53="Yes",Sheet2!H52&gt;4,Sheet2!H52&lt;=8),8,
IF(AND(Sheet2!F52="",Sheet2!F53="Yes",Sheet2!D53&gt;4,Sheet2!D53&lt;=8),8,
IF(AND(Sheet2!F52="Yes",Sheet2!F53="",Sheet2!H52&gt;4,Sheet2!H52&lt;=8),8,
IF(AND(Sheet2!F52="Yes",Sheet2!D53&gt;4,Sheet2!D53&lt;=8),8,"")))))))))))),
SUM(IF(MINUTE(F57-E57)&gt;28,HOUR(F57-E57)+1,HOUR(F57-E57)),IF(MINUTE(F58-E58)&gt;28,HOUR(F58-E58)+1,HOUR(F58-E58)))))),"")</f>
        <v>0</v>
      </c>
      <c r="I57" s="206">
        <f>IFERROR(IF(E57=0,0,
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'Timesheet-Regular'!F59,0)),"")</f>
        <v>0</v>
      </c>
      <c r="J57" s="203"/>
      <c r="K57" s="204"/>
      <c r="L57" s="204"/>
      <c r="M57" s="204"/>
      <c r="N57" s="204"/>
      <c r="O57" s="204"/>
      <c r="P57" s="204"/>
      <c r="Q57" s="205"/>
      <c r="S57" s="11"/>
    </row>
    <row r="58" spans="3:19" s="21" customFormat="1" ht="15" customHeight="1" x14ac:dyDescent="0.35">
      <c r="C58" s="155"/>
      <c r="D58" s="134"/>
      <c r="E58" s="71">
        <f>IFERROR(IF(G58="Yes",Sheet2!B53,0),"")</f>
        <v>0</v>
      </c>
      <c r="F58" s="71">
        <f>IFERROR(IF('OT Form'!G58="Yes",Sheet2!C53,0),"")</f>
        <v>0</v>
      </c>
      <c r="G58" s="39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IF(IFERROR(VLOOKUP($F$2,List!$A$70:$A$104,1,0),"")='OT Form'!$F$2,"",IF(Sheet2!F53="Yes","Yes","")),
IF(OR(C57="Monday",C57="Tuesday",C57="Wednesday",C57="Thursday",C57="Friday"),IF(IFERROR(VLOOKUP($F$2,List!$A$4:$A$42,1,0),"")='OT Form'!$F$2,"",IF(Sheet2!F53="Yes","Yes",""))))</f>
        <v/>
      </c>
      <c r="H58" s="132"/>
      <c r="I58" s="207"/>
      <c r="J58" s="203"/>
      <c r="K58" s="204"/>
      <c r="L58" s="204"/>
      <c r="M58" s="204"/>
      <c r="N58" s="204"/>
      <c r="O58" s="204"/>
      <c r="P58" s="204"/>
      <c r="Q58" s="205"/>
      <c r="S58" s="11"/>
    </row>
    <row r="59" spans="3:19" s="21" customFormat="1" ht="15" customHeight="1" x14ac:dyDescent="0.35">
      <c r="C59" s="154" t="str">
        <f t="shared" ref="C59" si="46">CHOOSE(WEEKDAY(D59),"Sunday","Monday","Tuesday","Wednesday","Thursday","Friday","Saturday")</f>
        <v>Tuesday</v>
      </c>
      <c r="D59" s="133">
        <f t="shared" ref="D59" si="47">D57+1</f>
        <v>44768</v>
      </c>
      <c r="E59" s="71">
        <f>IFERROR(IF(G59="Yes",Sheet2!B54,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,G60="Yes"),0,0)),"")</f>
        <v>0</v>
      </c>
      <c r="F59" s="71">
        <f>IFERROR(IF(E59=0,0,IF('OT Form'!G59="Yes",Sheet2!C54,0)),"")</f>
        <v>0</v>
      </c>
      <c r="G59" s="39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IF(IFERROR(VLOOKUP($F$2,List!$A$70:$A$104,1,0),"")='OT Form'!$F$2,"",IF(Sheet2!F54="Yes","Yes","")),
IF(OR(C59="Monday",C59="Tuesday",C59="Wednesday",C59="Thursday",C59="Friday"),IF(IFERROR(VLOOKUP($F$2,List!$A$4:$A$42,1,0),"")='OT Form'!$F$2,"",IF(Sheet2!F54="Yes","Yes",""))))</f>
        <v/>
      </c>
      <c r="H59" s="131">
        <f>IFERROR(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0,
IF($F$2="Seatech",
IF(AND(Sheet2!H54&gt;0,Sheet2!H54&lt;=8),8,
IF(AND(Sheet2!H54&gt;8,Sheet2!H54&lt;=16),16,
IF(AND(Sheet2!H54&gt;16,Sheet2!H54&lt;=24),24,""))),
IF($F$2="Rabobank",
IF(AND(Sheet2!F54="Yes",Sheet2!F55="No",Sheet2!D54&gt;0,Sheet2!D54&lt;=4),4,
IF(AND(Sheet2!F54="No",Sheet2!F55="Yes",Sheet2!D55&gt;0,Sheet2!D55&lt;=4),4,
IF(AND(Sheet2!F54="Yes",Sheet2!F55="Yes",Sheet2!H54&gt;0,Sheet2!H54&lt;=4),4,
IF(AND(Sheet2!F54="Yes",Sheet2!F55="",Sheet2!H54&gt;0,Sheet2!H54&lt;=4),4,
IF(AND(Sheet2!F54="",Sheet2!F55="Yes",Sheet2!H54&gt;0,Sheet2!H54&lt;=4),4,
IF(AND(Sheet2!F54="Yes",Sheet2!H54&gt;0,Sheet2!H54&lt;=4),4,
IF(AND(Sheet2!F54="Yes",Sheet2!F55="No",Sheet2!D54&gt;4,Sheet2!D54&lt;=8),8,
IF(AND(Sheet2!F54="No",Sheet2!F55="Yes",Sheet2!D55&gt;4,Sheet2!D55&lt;=8),8,
IF(AND(Sheet2!F54="Yes",Sheet2!F55="Yes",Sheet2!H54&gt;4,Sheet2!H54&lt;=8),8,
IF(AND(Sheet2!F54="",Sheet2!F55="Yes",Sheet2!D55&gt;4,Sheet2!D55&lt;=8),8,
IF(AND(Sheet2!F54="Yes",Sheet2!F55="",Sheet2!H54&gt;4,Sheet2!H54&lt;=8),8,
IF(AND(Sheet2!F54="Yes",Sheet2!D55&gt;4,Sheet2!D55&lt;=8),8,"")))))))))))),
SUM(IF(MINUTE(F59-E59)&gt;28,HOUR(F59-E59)+1,HOUR(F59-E59)),IF(MINUTE(F60-E60)&gt;28,HOUR(F60-E60)+1,HOUR(F60-E60)))))),"")</f>
        <v>0</v>
      </c>
      <c r="I59" s="206">
        <f>IFERROR(IF(E59=0,0,
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'Timesheet-Regular'!F61,0)),"")</f>
        <v>0</v>
      </c>
      <c r="J59" s="203"/>
      <c r="K59" s="204"/>
      <c r="L59" s="204"/>
      <c r="M59" s="204"/>
      <c r="N59" s="204"/>
      <c r="O59" s="204"/>
      <c r="P59" s="204"/>
      <c r="Q59" s="205"/>
      <c r="S59" s="11"/>
    </row>
    <row r="60" spans="3:19" s="21" customFormat="1" ht="15" customHeight="1" x14ac:dyDescent="0.35">
      <c r="C60" s="155"/>
      <c r="D60" s="134"/>
      <c r="E60" s="71">
        <f>IFERROR(IF(G60="Yes",Sheet2!B55,0),"")</f>
        <v>0</v>
      </c>
      <c r="F60" s="71">
        <f>IFERROR(IF('OT Form'!G60="Yes",Sheet2!C55,0),"")</f>
        <v>0</v>
      </c>
      <c r="G60" s="39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IF(IFERROR(VLOOKUP($F$2,List!$A$70:$A$104,1,0),"")='OT Form'!$F$2,"",IF(Sheet2!F55="Yes","Yes","")),
IF(OR(C59="Monday",C59="Tuesday",C59="Wednesday",C59="Thursday",C59="Friday"),IF(IFERROR(VLOOKUP($F$2,List!$A$4:$A$42,1,0),"")='OT Form'!$F$2,"",IF(Sheet2!F55="Yes","Yes",""))))</f>
        <v/>
      </c>
      <c r="H60" s="132"/>
      <c r="I60" s="207"/>
      <c r="J60" s="203"/>
      <c r="K60" s="204"/>
      <c r="L60" s="204"/>
      <c r="M60" s="204"/>
      <c r="N60" s="204"/>
      <c r="O60" s="204"/>
      <c r="P60" s="204"/>
      <c r="Q60" s="205"/>
      <c r="S60" s="11"/>
    </row>
    <row r="61" spans="3:19" s="21" customFormat="1" ht="15" customHeight="1" x14ac:dyDescent="0.35">
      <c r="C61" s="154" t="str">
        <f t="shared" ref="C61" si="48">CHOOSE(WEEKDAY(D61),"Sunday","Monday","Tuesday","Wednesday","Thursday","Friday","Saturday")</f>
        <v>Wednesday</v>
      </c>
      <c r="D61" s="133">
        <f t="shared" ref="D61" si="49">D59+1</f>
        <v>44769</v>
      </c>
      <c r="E61" s="71">
        <f>IFERROR(IF(G61="Yes",Sheet2!B56,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,G62="Yes"),0,0)),"")</f>
        <v>0</v>
      </c>
      <c r="F61" s="71">
        <f>IFERROR(IF(E61=0,0,IF('OT Form'!G61="Yes",Sheet2!C56,0)),"")</f>
        <v>0</v>
      </c>
      <c r="G61" s="39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IF(IFERROR(VLOOKUP($F$2,List!$A$70:$A$104,1,0),"")='OT Form'!$F$2,"",IF(Sheet2!F56="Yes","Yes","")),
IF(OR(C61="Monday",C61="Tuesday",C61="Wednesday",C61="Thursday",C61="Friday"),IF(IFERROR(VLOOKUP($F$2,List!$A$4:$A$42,1,0),"")='OT Form'!$F$2,"",IF(Sheet2!F56="Yes","Yes",""))))</f>
        <v/>
      </c>
      <c r="H61" s="131">
        <f>IFERROR(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0,
IF($F$2="Seatech",
IF(AND(Sheet2!H56&gt;0,Sheet2!H56&lt;=8),8,
IF(AND(Sheet2!H56&gt;8,Sheet2!H56&lt;=16),16,
IF(AND(Sheet2!H56&gt;16,Sheet2!H56&lt;=24),24,""))),
IF($F$2="Rabobank",
IF(AND(Sheet2!F56="Yes",Sheet2!F57="No",Sheet2!D56&gt;0,Sheet2!D56&lt;=4),4,
IF(AND(Sheet2!F56="No",Sheet2!F57="Yes",Sheet2!D57&gt;0,Sheet2!D57&lt;=4),4,
IF(AND(Sheet2!F56="Yes",Sheet2!F57="Yes",Sheet2!H56&gt;0,Sheet2!H56&lt;=4),4,
IF(AND(Sheet2!F56="Yes",Sheet2!F57="",Sheet2!H56&gt;0,Sheet2!H56&lt;=4),4,
IF(AND(Sheet2!F56="",Sheet2!F57="Yes",Sheet2!H56&gt;0,Sheet2!H56&lt;=4),4,
IF(AND(Sheet2!F56="Yes",Sheet2!H56&gt;0,Sheet2!H56&lt;=4),4,
IF(AND(Sheet2!F56="Yes",Sheet2!F57="No",Sheet2!D56&gt;4,Sheet2!D56&lt;=8),8,
IF(AND(Sheet2!F56="No",Sheet2!F57="Yes",Sheet2!D57&gt;4,Sheet2!D57&lt;=8),8,
IF(AND(Sheet2!F56="Yes",Sheet2!F57="Yes",Sheet2!H56&gt;4,Sheet2!H56&lt;=8),8,
IF(AND(Sheet2!F56="",Sheet2!F57="Yes",Sheet2!D57&gt;4,Sheet2!D57&lt;=8),8,
IF(AND(Sheet2!F56="Yes",Sheet2!F57="",Sheet2!H56&gt;4,Sheet2!H56&lt;=8),8,
IF(AND(Sheet2!F56="Yes",Sheet2!D57&gt;4,Sheet2!D57&lt;=8),8,"")))))))))))),
SUM(IF(MINUTE(F61-E61)&gt;28,HOUR(F61-E61)+1,HOUR(F61-E61)),IF(MINUTE(F62-E62)&gt;28,HOUR(F62-E62)+1,HOUR(F62-E62)))))),"")</f>
        <v>0</v>
      </c>
      <c r="I61" s="206">
        <f>IFERROR(IF(E61=0,0,
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'Timesheet-Regular'!F63,0)),"")</f>
        <v>0</v>
      </c>
      <c r="J61" s="203"/>
      <c r="K61" s="204"/>
      <c r="L61" s="204"/>
      <c r="M61" s="204"/>
      <c r="N61" s="204"/>
      <c r="O61" s="204"/>
      <c r="P61" s="204"/>
      <c r="Q61" s="205"/>
      <c r="S61" s="11"/>
    </row>
    <row r="62" spans="3:19" s="21" customFormat="1" ht="15" customHeight="1" x14ac:dyDescent="0.35">
      <c r="C62" s="155"/>
      <c r="D62" s="134"/>
      <c r="E62" s="71">
        <f>IFERROR(IF(G62="Yes",Sheet2!B57,0),"")</f>
        <v>0</v>
      </c>
      <c r="F62" s="71">
        <f>IFERROR(IF('OT Form'!G62="Yes",Sheet2!C57,0),"")</f>
        <v>0</v>
      </c>
      <c r="G62" s="39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IF(IFERROR(VLOOKUP($F$2,List!$A$70:$A$104,1,0),"")='OT Form'!$F$2,"",IF(Sheet2!F57="Yes","Yes","")),
IF(OR(C61="Monday",C61="Tuesday",C61="Wednesday",C61="Thursday",C61="Friday"),IF(IFERROR(VLOOKUP($F$2,List!$A$4:$A$42,1,0),"")='OT Form'!$F$2,"",IF(Sheet2!F57="Yes","Yes",""))))</f>
        <v/>
      </c>
      <c r="H62" s="132"/>
      <c r="I62" s="207"/>
      <c r="J62" s="203"/>
      <c r="K62" s="204"/>
      <c r="L62" s="204"/>
      <c r="M62" s="204"/>
      <c r="N62" s="204"/>
      <c r="O62" s="204"/>
      <c r="P62" s="204"/>
      <c r="Q62" s="205"/>
      <c r="S62" s="11"/>
    </row>
    <row r="63" spans="3:19" s="21" customFormat="1" ht="15" customHeight="1" x14ac:dyDescent="0.35">
      <c r="C63" s="154" t="str">
        <f t="shared" ref="C63" si="50">CHOOSE(WEEKDAY(D63),"Sunday","Monday","Tuesday","Wednesday","Thursday","Friday","Saturday")</f>
        <v>Thursday</v>
      </c>
      <c r="D63" s="133">
        <f t="shared" ref="D63" si="51">D61+1</f>
        <v>44770</v>
      </c>
      <c r="E63" s="71">
        <f>IFERROR(IF(G63="Yes",Sheet2!B58,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,G64="Yes"),0,0)),"")</f>
        <v>0</v>
      </c>
      <c r="F63" s="71">
        <f>IFERROR(IF(E63=0,0,IF('OT Form'!G63="Yes",Sheet2!C58,0)),"")</f>
        <v>0</v>
      </c>
      <c r="G63" s="39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IF(IFERROR(VLOOKUP($F$2,List!$A$70:$A$104,1,0),"")='OT Form'!$F$2,"",IF(Sheet2!F58="Yes","Yes","")),
IF(OR(C63="Monday",C63="Tuesday",C63="Wednesday",C63="Thursday",C63="Friday"),IF(IFERROR(VLOOKUP($F$2,List!$A$4:$A$42,1,0),"")='OT Form'!$F$2,"",IF(Sheet2!F58="Yes","Yes",""))))</f>
        <v/>
      </c>
      <c r="H63" s="131">
        <f>IFERROR(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0,
IF($F$2="Seatech",
IF(AND(Sheet2!H58&gt;0,Sheet2!H58&lt;=8),8,
IF(AND(Sheet2!H58&gt;8,Sheet2!H58&lt;=16),16,
IF(AND(Sheet2!H58&gt;16,Sheet2!H58&lt;=24),24,""))),
IF($F$2="Rabobank",
IF(AND(Sheet2!F58="Yes",Sheet2!F59="No",Sheet2!D58&gt;0,Sheet2!D58&lt;=4),4,
IF(AND(Sheet2!F58="No",Sheet2!F59="Yes",Sheet2!D59&gt;0,Sheet2!D59&lt;=4),4,
IF(AND(Sheet2!F58="Yes",Sheet2!F59="Yes",Sheet2!H58&gt;0,Sheet2!H58&lt;=4),4,
IF(AND(Sheet2!F58="Yes",Sheet2!F59="",Sheet2!H58&gt;0,Sheet2!H58&lt;=4),4,
IF(AND(Sheet2!F58="",Sheet2!F59="Yes",Sheet2!H58&gt;0,Sheet2!H58&lt;=4),4,
IF(AND(Sheet2!F58="Yes",Sheet2!H58&gt;0,Sheet2!H58&lt;=4),4,
IF(AND(Sheet2!F58="Yes",Sheet2!F59="No",Sheet2!D58&gt;4,Sheet2!D58&lt;=8),8,
IF(AND(Sheet2!F58="No",Sheet2!F59="Yes",Sheet2!D59&gt;4,Sheet2!D59&lt;=8),8,
IF(AND(Sheet2!F58="Yes",Sheet2!F59="Yes",Sheet2!H58&gt;4,Sheet2!H58&lt;=8),8,
IF(AND(Sheet2!F58="",Sheet2!F59="Yes",Sheet2!D59&gt;4,Sheet2!D59&lt;=8),8,
IF(AND(Sheet2!F58="Yes",Sheet2!F59="",Sheet2!H58&gt;4,Sheet2!H58&lt;=8),8,
IF(AND(Sheet2!F58="Yes",Sheet2!D59&gt;4,Sheet2!D59&lt;=8),8,"")))))))))))),
SUM(IF(MINUTE(F63-E63)&gt;28,HOUR(F63-E63)+1,HOUR(F63-E63)),IF(MINUTE(F64-E64)&gt;28,HOUR(F64-E64)+1,HOUR(F64-E64)))))),"")</f>
        <v>0</v>
      </c>
      <c r="I63" s="206">
        <f>IFERROR(IF(E63=0,0,
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'Timesheet-Regular'!F65,0)),"")</f>
        <v>0</v>
      </c>
      <c r="J63" s="203"/>
      <c r="K63" s="204"/>
      <c r="L63" s="204"/>
      <c r="M63" s="204"/>
      <c r="N63" s="204"/>
      <c r="O63" s="204"/>
      <c r="P63" s="204"/>
      <c r="Q63" s="205"/>
      <c r="S63" s="11"/>
    </row>
    <row r="64" spans="3:19" s="21" customFormat="1" ht="15" customHeight="1" x14ac:dyDescent="0.35">
      <c r="C64" s="155"/>
      <c r="D64" s="134"/>
      <c r="E64" s="71">
        <f>IFERROR(IF(G64="Yes",Sheet2!B59,0),"")</f>
        <v>0</v>
      </c>
      <c r="F64" s="71">
        <f>IFERROR(IF('OT Form'!G64="Yes",Sheet2!C59,0),"")</f>
        <v>0</v>
      </c>
      <c r="G64" s="39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IF(IFERROR(VLOOKUP($F$2,List!$A$70:$A$104,1,0),"")='OT Form'!$F$2,"",IF(Sheet2!F59="Yes","Yes","")),
IF(OR(C63="Monday",C63="Tuesday",C63="Wednesday",C63="Thursday",C63="Friday"),IF(IFERROR(VLOOKUP($F$2,List!$A$4:$A$42,1,0),"")='OT Form'!$F$2,"",IF(Sheet2!F59="Yes","Yes",""))))</f>
        <v/>
      </c>
      <c r="H64" s="132"/>
      <c r="I64" s="207"/>
      <c r="J64" s="203"/>
      <c r="K64" s="204"/>
      <c r="L64" s="204"/>
      <c r="M64" s="204"/>
      <c r="N64" s="204"/>
      <c r="O64" s="204"/>
      <c r="P64" s="204"/>
      <c r="Q64" s="205"/>
      <c r="S64" s="11"/>
    </row>
    <row r="65" spans="2:24" s="21" customFormat="1" ht="15" customHeight="1" x14ac:dyDescent="0.35">
      <c r="C65" s="154" t="str">
        <f t="shared" ref="C65" si="52">CHOOSE(WEEKDAY(D65),"Sunday","Monday","Tuesday","Wednesday","Thursday","Friday","Saturday")</f>
        <v>Friday</v>
      </c>
      <c r="D65" s="133">
        <f t="shared" ref="D65:D69" si="53">D63+1</f>
        <v>44771</v>
      </c>
      <c r="E65" s="71">
        <f>IFERROR(IF(G65="Yes",Sheet2!B60,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,G66="Yes"),0,0)),"")</f>
        <v>0</v>
      </c>
      <c r="F65" s="71">
        <f>IFERROR(IF(E65=0,0,IF('OT Form'!G65="Yes",Sheet2!C60,0)),"")</f>
        <v>0</v>
      </c>
      <c r="G65" s="39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IF(IFERROR(VLOOKUP($F$2,List!$A$70:$A$104,1,0),"")='OT Form'!$F$2,"",IF(Sheet2!F60="Yes","Yes","")),
IF(OR(C65="Monday",C65="Tuesday",C65="Wednesday",C65="Thursday",C65="Friday"),IF(IFERROR(VLOOKUP($F$2,List!$A$4:$A$42,1,0),"")='OT Form'!$F$2,"",IF(Sheet2!F60="Yes","Yes",""))))</f>
        <v/>
      </c>
      <c r="H65" s="131">
        <f>IFERROR(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0,
IF($F$2="Seatech",
IF(AND(Sheet2!H60&gt;0,Sheet2!H60&lt;=8),8,
IF(AND(Sheet2!H60&gt;8,Sheet2!H60&lt;=16),16,
IF(AND(Sheet2!H60&gt;16,Sheet2!H60&lt;=24),24,""))),
IF($F$2="Rabobank",
IF(AND(Sheet2!F60="Yes",Sheet2!F61="No",Sheet2!D60&gt;0,Sheet2!D60&lt;=4),4,
IF(AND(Sheet2!F60="No",Sheet2!F61="Yes",Sheet2!D61&gt;0,Sheet2!D61&lt;=4),4,
IF(AND(Sheet2!F60="Yes",Sheet2!F61="Yes",Sheet2!H60&gt;0,Sheet2!H60&lt;=4),4,
IF(AND(Sheet2!F60="Yes",Sheet2!F61="",Sheet2!H60&gt;0,Sheet2!H60&lt;=4),4,
IF(AND(Sheet2!F60="",Sheet2!F61="Yes",Sheet2!H60&gt;0,Sheet2!H60&lt;=4),4,
IF(AND(Sheet2!F60="Yes",Sheet2!H60&gt;0,Sheet2!H60&lt;=4),4,
IF(AND(Sheet2!F60="Yes",Sheet2!F61="No",Sheet2!D60&gt;4,Sheet2!D60&lt;=8),8,
IF(AND(Sheet2!F60="No",Sheet2!F61="Yes",Sheet2!D61&gt;4,Sheet2!D61&lt;=8),8,
IF(AND(Sheet2!F60="Yes",Sheet2!F61="Yes",Sheet2!H60&gt;4,Sheet2!H60&lt;=8),8,
IF(AND(Sheet2!F60="",Sheet2!F61="Yes",Sheet2!D61&gt;4,Sheet2!D61&lt;=8),8,
IF(AND(Sheet2!F60="Yes",Sheet2!F61="",Sheet2!H60&gt;4,Sheet2!H60&lt;=8),8,
IF(AND(Sheet2!F60="Yes",Sheet2!D61&gt;4,Sheet2!D61&lt;=8),8,"")))))))))))),
SUM(IF(MINUTE(F65-E65)&gt;28,HOUR(F65-E65)+1,HOUR(F65-E65)),IF(MINUTE(F66-E66)&gt;28,HOUR(F66-E66)+1,HOUR(F66-E66)))))),"")</f>
        <v>0</v>
      </c>
      <c r="I65" s="206">
        <f>IFERROR(IF(E65=0,0,
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'Timesheet-Regular'!F67,0)),"")</f>
        <v>0</v>
      </c>
      <c r="J65" s="203"/>
      <c r="K65" s="204"/>
      <c r="L65" s="204"/>
      <c r="M65" s="204"/>
      <c r="N65" s="204"/>
      <c r="O65" s="204"/>
      <c r="P65" s="204"/>
      <c r="Q65" s="205"/>
      <c r="S65" s="11"/>
    </row>
    <row r="66" spans="2:24" s="21" customFormat="1" ht="15" customHeight="1" x14ac:dyDescent="0.35">
      <c r="C66" s="155"/>
      <c r="D66" s="134"/>
      <c r="E66" s="71">
        <f>IFERROR(IF(G66="Yes",Sheet2!B61,0),"")</f>
        <v>0</v>
      </c>
      <c r="F66" s="71">
        <f>IFERROR(IF('OT Form'!G66="Yes",Sheet2!C61,0),"")</f>
        <v>0</v>
      </c>
      <c r="G66" s="39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IF(IFERROR(VLOOKUP($F$2,List!$A$70:$A$104,1,0),"")='OT Form'!$F$2,"",IF(Sheet2!F61="Yes","Yes","")),
IF(OR(C65="Monday",C65="Tuesday",C65="Wednesday",C65="Thursday",C65="Friday"),IF(IFERROR(VLOOKUP($F$2,List!$A$4:$A$42,1,0),"")='OT Form'!$F$2,"",IF(Sheet2!F61="Yes","Yes",""))))</f>
        <v/>
      </c>
      <c r="H66" s="132"/>
      <c r="I66" s="207"/>
      <c r="J66" s="203"/>
      <c r="K66" s="204"/>
      <c r="L66" s="204"/>
      <c r="M66" s="204"/>
      <c r="N66" s="204"/>
      <c r="O66" s="204"/>
      <c r="P66" s="204"/>
      <c r="Q66" s="205"/>
      <c r="S66" s="11"/>
    </row>
    <row r="67" spans="2:24" s="21" customFormat="1" ht="15" customHeight="1" x14ac:dyDescent="0.35">
      <c r="C67" s="151" t="str">
        <f t="shared" ref="C67" si="54">CHOOSE(WEEKDAY(D67),"Sunday","Monday","Tuesday","Wednesday","Thursday","Friday","Saturday")</f>
        <v>Saturday</v>
      </c>
      <c r="D67" s="211">
        <f t="shared" si="53"/>
        <v>44772</v>
      </c>
      <c r="E67" s="118">
        <f>IFERROR(IF(G67="Yes",Sheet2!B62,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,G68="Yes"),0,0)),"")</f>
        <v>0</v>
      </c>
      <c r="F67" s="118">
        <f>IFERROR(IF(E67=0,0,IF('OT Form'!G67="Yes",Sheet2!C62,0)),"")</f>
        <v>0</v>
      </c>
      <c r="G67" s="117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IF(IFERROR(VLOOKUP($F$2,List!$A$70:$A$104,1,0),"")='OT Form'!$F$2,"",IF(Sheet2!F62="Yes","Yes","")),
IF(OR(C67="Monday",C67="Tuesday",C67="Wednesday",C67="Thursday",C67="Friday"),IF(IFERROR(VLOOKUP($F$2,List!$A$4:$A$42,1,0),"")='OT Form'!$F$2,"",IF(Sheet2!F62="Yes","Yes",""))))</f>
        <v/>
      </c>
      <c r="H67" s="129">
        <f>IFERROR(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0,
IF($F$2="Seatech",
IF(AND(Sheet2!H62&gt;0,Sheet2!H62&lt;=8),8,
IF(AND(Sheet2!H62&gt;8,Sheet2!H62&lt;=16),16,
IF(AND(Sheet2!H62&gt;16,Sheet2!H62&lt;=24),24,""))),
IF($F$2="Rabobank",
IF(AND(Sheet2!F62="Yes",Sheet2!F63="No",Sheet2!D62&gt;0,Sheet2!D62&lt;=4),4,
IF(AND(Sheet2!F62="No",Sheet2!F63="Yes",Sheet2!D63&gt;0,Sheet2!D63&lt;=4),4,
IF(AND(Sheet2!F62="Yes",Sheet2!F63="Yes",Sheet2!H62&gt;0,Sheet2!H62&lt;=4),4,
IF(AND(Sheet2!F62="Yes",Sheet2!F63="",Sheet2!H62&gt;0,Sheet2!H62&lt;=4),4,
IF(AND(Sheet2!F62="",Sheet2!F63="Yes",Sheet2!H62&gt;0,Sheet2!H62&lt;=4),4,
IF(AND(Sheet2!F62="Yes",Sheet2!H62&gt;0,Sheet2!H62&lt;=4),4,
IF(AND(Sheet2!F62="Yes",Sheet2!F63="No",Sheet2!D62&gt;4,Sheet2!D62&lt;=8),8,
IF(AND(Sheet2!F62="No",Sheet2!F63="Yes",Sheet2!D63&gt;4,Sheet2!D63&lt;=8),8,
IF(AND(Sheet2!F62="Yes",Sheet2!F63="Yes",Sheet2!H62&gt;4,Sheet2!H62&lt;=8),8,
IF(AND(Sheet2!F62="",Sheet2!F63="Yes",Sheet2!D63&gt;4,Sheet2!D63&lt;=8),8,
IF(AND(Sheet2!F62="Yes",Sheet2!F63="",Sheet2!H62&gt;4,Sheet2!H62&lt;=8),8,
IF(AND(Sheet2!F62="Yes",Sheet2!D63&gt;4,Sheet2!D63&lt;=8),8,"")))))))))))),
SUM(IF(MINUTE(F67-E67)&gt;28,HOUR(F67-E67)+1,HOUR(F67-E67)),IF(MINUTE(F68-E68)&gt;28,HOUR(F68-E68)+1,HOUR(F68-E68)))))),"")</f>
        <v>0</v>
      </c>
      <c r="I67" s="213">
        <f>IFERROR(IF(E67=0,0,
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'Timesheet-Regular'!F69,0)),"")</f>
        <v>0</v>
      </c>
      <c r="J67" s="215"/>
      <c r="K67" s="216"/>
      <c r="L67" s="216"/>
      <c r="M67" s="216"/>
      <c r="N67" s="216"/>
      <c r="O67" s="216"/>
      <c r="P67" s="216"/>
      <c r="Q67" s="217"/>
      <c r="S67" s="11"/>
    </row>
    <row r="68" spans="2:24" s="21" customFormat="1" ht="15" customHeight="1" x14ac:dyDescent="0.35">
      <c r="C68" s="152"/>
      <c r="D68" s="212"/>
      <c r="E68" s="118">
        <f>IFERROR(IF(G68="Yes",Sheet2!B63,0),"")</f>
        <v>0</v>
      </c>
      <c r="F68" s="118">
        <f>IFERROR(IF('OT Form'!G68="Yes",Sheet2!C63,0),"")</f>
        <v>0</v>
      </c>
      <c r="G68" s="117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IF(IFERROR(VLOOKUP($F$2,List!$A$70:$A$104,1,0),"")='OT Form'!$F$2,"",IF(Sheet2!F63="Yes","Yes","")),
IF(OR(C67="Monday",C67="Tuesday",C67="Wednesday",C67="Thursday",C67="Friday"),IF(IFERROR(VLOOKUP($F$2,List!$A$4:$A$42,1,0),"")='OT Form'!$F$2,"",IF(Sheet2!F63="Yes","Yes",""))))</f>
        <v/>
      </c>
      <c r="H68" s="130"/>
      <c r="I68" s="214"/>
      <c r="J68" s="215"/>
      <c r="K68" s="216"/>
      <c r="L68" s="216"/>
      <c r="M68" s="216"/>
      <c r="N68" s="216"/>
      <c r="O68" s="216"/>
      <c r="P68" s="216"/>
      <c r="Q68" s="217"/>
      <c r="S68" s="11"/>
    </row>
    <row r="69" spans="2:24" s="21" customFormat="1" ht="15.5" x14ac:dyDescent="0.35">
      <c r="C69" s="151" t="str">
        <f t="shared" ref="C69" si="55">CHOOSE(WEEKDAY(D69),"Sunday","Monday","Tuesday","Wednesday","Thursday","Friday","Saturday")</f>
        <v>Sunday</v>
      </c>
      <c r="D69" s="211">
        <f t="shared" si="53"/>
        <v>44773</v>
      </c>
      <c r="E69" s="118">
        <f>IFERROR(IF(G69="Yes",Sheet2!B64,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,G70="Yes"),0,0)),"")</f>
        <v>0</v>
      </c>
      <c r="F69" s="118">
        <f>IFERROR(IF(E69=0,0,IF('OT Form'!G69="Yes",Sheet2!C64,0)),"")</f>
        <v>0</v>
      </c>
      <c r="G69" s="117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IF(IFERROR(VLOOKUP($F$2,List!$A$70:$A$104,1,0),"")='OT Form'!$F$2,"",IF(Sheet2!F64="Yes","Yes","")),
IF(OR(C69="Monday",C69="Tuesday",C69="Wednesday",C69="Thursday",C69="Friday"),IF(IFERROR(VLOOKUP($F$2,List!$A$4:$A$42,1,0),"")='OT Form'!$F$2,"",IF(Sheet2!F64="Yes","Yes",""))))</f>
        <v/>
      </c>
      <c r="H69" s="129">
        <f>IFERROR(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0,
IF($F$2="Seatech",
IF(AND(Sheet2!H64&gt;0,Sheet2!H64&lt;=8),8,
IF(AND(Sheet2!H64&gt;8,Sheet2!H64&lt;=16),16,
IF(AND(Sheet2!H64&gt;16,Sheet2!H64&lt;=24),24,""))),
IF($F$2="Rabobank",
IF(AND(Sheet2!F64="Yes",Sheet2!F65="No",Sheet2!D64&gt;0,Sheet2!D64&lt;=4),4,
IF(AND(Sheet2!F64="No",Sheet2!F65="Yes",Sheet2!D65&gt;0,Sheet2!D65&lt;=4),4,
IF(AND(Sheet2!F64="Yes",Sheet2!F65="Yes",Sheet2!H64&gt;0,Sheet2!H64&lt;=4),4,
IF(AND(Sheet2!F64="Yes",Sheet2!F65="",Sheet2!H64&gt;0,Sheet2!H64&lt;=4),4,
IF(AND(Sheet2!F64="",Sheet2!F65="Yes",Sheet2!H64&gt;0,Sheet2!H64&lt;=4),4,
IF(AND(Sheet2!F64="Yes",Sheet2!H64&gt;0,Sheet2!H64&lt;=4),4,
IF(AND(Sheet2!F64="Yes",Sheet2!F65="No",Sheet2!D64&gt;4,Sheet2!D64&lt;=8),8,
IF(AND(Sheet2!F64="No",Sheet2!F65="Yes",Sheet2!D65&gt;4,Sheet2!D65&lt;=8),8,
IF(AND(Sheet2!F64="Yes",Sheet2!F65="Yes",Sheet2!H64&gt;4,Sheet2!H64&lt;=8),8,
IF(AND(Sheet2!F64="",Sheet2!F65="Yes",Sheet2!D65&gt;4,Sheet2!D65&lt;=8),8,
IF(AND(Sheet2!F64="Yes",Sheet2!F65="",Sheet2!H64&gt;4,Sheet2!H64&lt;=8),8,
IF(AND(Sheet2!F64="Yes",Sheet2!D65&gt;4,Sheet2!D65&lt;=8),8,"")))))))))))),
SUM(IF(MINUTE(F69-E69)&gt;28,HOUR(F69-E69)+1,HOUR(F69-E69)),IF(MINUTE(F70-E70)&gt;28,HOUR(F70-E70)+1,HOUR(F70-E70)))))),"")</f>
        <v>0</v>
      </c>
      <c r="I69" s="213">
        <f>IFERROR(IF(E69=0,0,
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'Timesheet-Regular'!F71,0)),"")</f>
        <v>0</v>
      </c>
      <c r="J69" s="215"/>
      <c r="K69" s="216"/>
      <c r="L69" s="216"/>
      <c r="M69" s="216"/>
      <c r="N69" s="216"/>
      <c r="O69" s="216"/>
      <c r="P69" s="216"/>
      <c r="Q69" s="217"/>
      <c r="S69" s="11"/>
    </row>
    <row r="70" spans="2:24" s="21" customFormat="1" ht="15" customHeight="1" x14ac:dyDescent="0.35">
      <c r="C70" s="152"/>
      <c r="D70" s="212"/>
      <c r="E70" s="118">
        <f>IFERROR(IF(G70="Yes",Sheet2!B65,0),"")</f>
        <v>0</v>
      </c>
      <c r="F70" s="118">
        <f>IFERROR(IF('OT Form'!G70="Yes",Sheet2!C65,0),"")</f>
        <v>0</v>
      </c>
      <c r="G70" s="117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IF(IFERROR(VLOOKUP($F$2,List!$A$70:$A$104,1,0),"")='OT Form'!$F$2,"",IF(Sheet2!F65="Yes","Yes","")),
IF(OR(C69="Monday",C69="Tuesday",C69="Wednesday",C69="Thursday",C69="Friday"),IF(IFERROR(VLOOKUP($F$2,List!$A$4:$A$42,1,0),"")='OT Form'!$F$2,"",IF(Sheet2!F65="Yes","Yes",""))))</f>
        <v/>
      </c>
      <c r="H70" s="130"/>
      <c r="I70" s="214"/>
      <c r="J70" s="215"/>
      <c r="K70" s="216"/>
      <c r="L70" s="216"/>
      <c r="M70" s="216"/>
      <c r="N70" s="216"/>
      <c r="O70" s="216"/>
      <c r="P70" s="216"/>
      <c r="Q70" s="217"/>
      <c r="S70" s="11"/>
    </row>
    <row r="71" spans="2:24" s="21" customFormat="1" ht="18" customHeight="1" x14ac:dyDescent="0.35">
      <c r="B71" s="18"/>
      <c r="C71" s="19"/>
      <c r="D71" s="28"/>
      <c r="E71" s="19"/>
      <c r="F71" s="20"/>
      <c r="G71" s="20"/>
      <c r="H71" s="19"/>
      <c r="I71" s="19"/>
      <c r="J71" s="20"/>
      <c r="K71" s="20"/>
      <c r="L71" s="19"/>
      <c r="M71" s="19"/>
      <c r="N71" s="19"/>
      <c r="O71" s="19"/>
      <c r="P71" s="19"/>
      <c r="Q71" s="19"/>
      <c r="R71" s="19"/>
      <c r="S71" s="19"/>
      <c r="T71" s="19"/>
      <c r="V71" s="10"/>
      <c r="W71" s="10"/>
      <c r="X71" s="10"/>
    </row>
    <row r="72" spans="2:24" s="21" customFormat="1" ht="15" customHeight="1" x14ac:dyDescent="0.35">
      <c r="B72" s="18"/>
      <c r="C72" s="19"/>
      <c r="D72" s="19"/>
      <c r="E72" s="19"/>
      <c r="F72" s="20"/>
      <c r="G72" s="20"/>
      <c r="H72" s="19"/>
      <c r="I72" s="19"/>
      <c r="J72" s="20"/>
      <c r="K72" s="20"/>
      <c r="L72" s="19"/>
      <c r="M72" s="19"/>
      <c r="N72" s="19"/>
      <c r="O72" s="19"/>
      <c r="P72" s="19"/>
      <c r="Q72" s="19"/>
      <c r="R72" s="19"/>
      <c r="S72" s="19"/>
      <c r="T72" s="19"/>
      <c r="V72" s="10"/>
      <c r="W72" s="10"/>
      <c r="X72" s="10"/>
    </row>
    <row r="73" spans="2:24" s="21" customFormat="1" ht="15" customHeight="1" x14ac:dyDescent="0.35">
      <c r="B73" s="18"/>
      <c r="C73" s="19"/>
      <c r="D73" s="19"/>
      <c r="E73" s="19"/>
      <c r="F73" s="20"/>
      <c r="G73" s="20"/>
      <c r="H73" s="19"/>
      <c r="I73" s="19"/>
      <c r="J73" s="20"/>
      <c r="K73" s="20"/>
      <c r="L73" s="19"/>
      <c r="M73" s="19"/>
      <c r="N73" s="19"/>
      <c r="O73" s="19"/>
      <c r="P73" s="19"/>
      <c r="Q73" s="19"/>
      <c r="R73" s="19"/>
      <c r="S73" s="19"/>
      <c r="T73" s="19"/>
      <c r="V73" s="10"/>
      <c r="W73" s="10"/>
      <c r="X73" s="10"/>
    </row>
    <row r="74" spans="2:24" s="21" customFormat="1" ht="110.25" customHeight="1" x14ac:dyDescent="0.35">
      <c r="B74" s="18"/>
      <c r="E74" s="145" t="s">
        <v>147</v>
      </c>
      <c r="F74" s="147"/>
      <c r="G74" s="145" t="s">
        <v>148</v>
      </c>
      <c r="H74" s="147"/>
      <c r="I74" s="145" t="s">
        <v>149</v>
      </c>
      <c r="J74" s="147"/>
      <c r="K74" s="145" t="s">
        <v>150</v>
      </c>
      <c r="L74" s="147"/>
      <c r="N74" s="10"/>
      <c r="O74" s="10"/>
      <c r="P74" s="10"/>
      <c r="Q74" s="10"/>
    </row>
    <row r="75" spans="2:24" s="21" customFormat="1" ht="15" customHeight="1" x14ac:dyDescent="0.35">
      <c r="B75" s="18"/>
      <c r="E75" s="220">
        <f>SUM(H9:H70)</f>
        <v>0</v>
      </c>
      <c r="F75" s="221"/>
      <c r="G75" s="220">
        <f>COUNTIF(H9:H70,"&gt;0")</f>
        <v>0</v>
      </c>
      <c r="H75" s="221"/>
      <c r="I75" s="220">
        <f>SUM(I9:I70)</f>
        <v>0</v>
      </c>
      <c r="J75" s="221"/>
      <c r="K75" s="220">
        <f>COUNTIF(I9:I70,"&gt;0")</f>
        <v>0</v>
      </c>
      <c r="L75" s="221"/>
      <c r="N75" s="10"/>
      <c r="O75" s="10"/>
      <c r="P75" s="10"/>
      <c r="Q75" s="10"/>
    </row>
    <row r="76" spans="2:24" s="21" customFormat="1" ht="15" customHeight="1" x14ac:dyDescent="0.35">
      <c r="B76" s="18"/>
      <c r="E76" s="222"/>
      <c r="F76" s="223"/>
      <c r="G76" s="222"/>
      <c r="H76" s="223"/>
      <c r="I76" s="222"/>
      <c r="J76" s="223"/>
      <c r="K76" s="222"/>
      <c r="L76" s="223"/>
      <c r="N76" s="10"/>
      <c r="O76" s="10"/>
      <c r="P76" s="10"/>
      <c r="Q76" s="10"/>
    </row>
    <row r="77" spans="2:24" s="21" customFormat="1" ht="15" customHeight="1" x14ac:dyDescent="0.35">
      <c r="B77" s="18"/>
      <c r="E77" s="224"/>
      <c r="F77" s="225"/>
      <c r="G77" s="224"/>
      <c r="H77" s="225"/>
      <c r="I77" s="224"/>
      <c r="J77" s="225"/>
      <c r="K77" s="224"/>
      <c r="L77" s="225"/>
      <c r="N77" s="10"/>
      <c r="O77" s="10"/>
      <c r="P77" s="10"/>
      <c r="Q77" s="10"/>
    </row>
    <row r="78" spans="2:24" s="21" customFormat="1" ht="59.25" customHeight="1" x14ac:dyDescent="0.35">
      <c r="B78" s="18"/>
      <c r="C78" s="19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19"/>
      <c r="T78" s="19"/>
      <c r="V78" s="10"/>
      <c r="W78" s="10"/>
      <c r="X78" s="10"/>
    </row>
    <row r="79" spans="2:24" s="21" customFormat="1" ht="15" hidden="1" customHeight="1" x14ac:dyDescent="0.35">
      <c r="B79" s="18"/>
      <c r="C79" s="19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19"/>
      <c r="S79" s="19"/>
      <c r="T79" s="19"/>
    </row>
    <row r="80" spans="2:24" s="21" customFormat="1" ht="15" hidden="1" customHeight="1" x14ac:dyDescent="0.35">
      <c r="B80" s="18"/>
      <c r="C80" s="19"/>
      <c r="D80" s="19"/>
      <c r="E80" s="19"/>
      <c r="F80" s="20"/>
      <c r="G80" s="20"/>
      <c r="H80" s="19"/>
      <c r="I80" s="19"/>
      <c r="J80" s="20"/>
      <c r="K80" s="20"/>
      <c r="L80" s="19"/>
      <c r="M80" s="19"/>
      <c r="N80" s="19"/>
      <c r="O80" s="19"/>
      <c r="P80" s="19"/>
      <c r="Q80" s="19"/>
      <c r="R80" s="19"/>
      <c r="S80" s="19"/>
      <c r="T80" s="19"/>
    </row>
    <row r="81" spans="2:20" ht="15" customHeight="1" x14ac:dyDescent="0.35">
      <c r="B81" s="199" t="s">
        <v>1</v>
      </c>
      <c r="C81" s="199"/>
      <c r="D81" s="199" t="s">
        <v>11</v>
      </c>
      <c r="E81" s="199"/>
      <c r="F81" s="199"/>
      <c r="G81" s="199" t="s">
        <v>138</v>
      </c>
      <c r="H81" s="199"/>
      <c r="I81" s="199" t="s">
        <v>11</v>
      </c>
      <c r="J81" s="199"/>
      <c r="K81" s="199"/>
      <c r="L81" s="199" t="s">
        <v>139</v>
      </c>
      <c r="M81" s="199"/>
      <c r="N81" s="199"/>
      <c r="O81" s="145" t="s">
        <v>11</v>
      </c>
      <c r="P81" s="146"/>
      <c r="Q81" s="146"/>
      <c r="R81" s="147"/>
      <c r="S81" s="61"/>
    </row>
    <row r="82" spans="2:20" ht="15" customHeight="1" x14ac:dyDescent="0.35">
      <c r="B82" s="218">
        <f>F3</f>
        <v>0</v>
      </c>
      <c r="C82" s="218"/>
      <c r="D82" s="219"/>
      <c r="E82" s="219"/>
      <c r="F82" s="219"/>
      <c r="G82" s="168"/>
      <c r="H82" s="169"/>
      <c r="I82" s="226"/>
      <c r="J82" s="226"/>
      <c r="K82" s="226"/>
      <c r="L82" s="168"/>
      <c r="M82" s="169"/>
      <c r="N82" s="170"/>
      <c r="O82" s="159"/>
      <c r="P82" s="160"/>
      <c r="Q82" s="160"/>
      <c r="R82" s="161"/>
      <c r="S82" s="62"/>
    </row>
    <row r="83" spans="2:20" ht="15" customHeight="1" x14ac:dyDescent="0.35">
      <c r="B83" s="218"/>
      <c r="C83" s="218"/>
      <c r="D83" s="219"/>
      <c r="E83" s="219"/>
      <c r="F83" s="219"/>
      <c r="G83" s="171"/>
      <c r="H83" s="172"/>
      <c r="I83" s="226"/>
      <c r="J83" s="226"/>
      <c r="K83" s="226"/>
      <c r="L83" s="171"/>
      <c r="M83" s="172"/>
      <c r="N83" s="173"/>
      <c r="O83" s="162"/>
      <c r="P83" s="163"/>
      <c r="Q83" s="163"/>
      <c r="R83" s="164"/>
      <c r="S83" s="62"/>
    </row>
    <row r="84" spans="2:20" ht="15" customHeight="1" x14ac:dyDescent="0.35">
      <c r="B84" s="218"/>
      <c r="C84" s="218"/>
      <c r="D84" s="219"/>
      <c r="E84" s="219"/>
      <c r="F84" s="219"/>
      <c r="G84" s="171"/>
      <c r="H84" s="172"/>
      <c r="I84" s="226"/>
      <c r="J84" s="226"/>
      <c r="K84" s="226"/>
      <c r="L84" s="171"/>
      <c r="M84" s="172"/>
      <c r="N84" s="173"/>
      <c r="O84" s="162"/>
      <c r="P84" s="163"/>
      <c r="Q84" s="163"/>
      <c r="R84" s="164"/>
      <c r="S84" s="62"/>
    </row>
    <row r="85" spans="2:20" ht="15" customHeight="1" x14ac:dyDescent="0.35">
      <c r="B85" s="218"/>
      <c r="C85" s="218"/>
      <c r="D85" s="219"/>
      <c r="E85" s="219"/>
      <c r="F85" s="219"/>
      <c r="G85" s="174"/>
      <c r="H85" s="175"/>
      <c r="I85" s="226"/>
      <c r="J85" s="226"/>
      <c r="K85" s="226"/>
      <c r="L85" s="174"/>
      <c r="M85" s="175"/>
      <c r="N85" s="176"/>
      <c r="O85" s="165"/>
      <c r="P85" s="166"/>
      <c r="Q85" s="166"/>
      <c r="R85" s="167"/>
      <c r="S85" s="62"/>
    </row>
    <row r="86" spans="2:20" ht="15" customHeight="1" x14ac:dyDescent="0.35">
      <c r="B86" s="18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</row>
    <row r="87" spans="2:20" ht="15" customHeight="1" x14ac:dyDescent="0.35">
      <c r="B87" s="18"/>
      <c r="C87" s="19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</row>
    <row r="88" spans="2:20" ht="12" customHeight="1" x14ac:dyDescent="0.35">
      <c r="B88" s="18"/>
      <c r="C88" s="19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</row>
  </sheetData>
  <sheetProtection algorithmName="SHA-512" hashValue="CbwMRIdkEY4Lx3a3V/vXAuyGWUxYxpzqthPnoRbhzaJF75319KtuCV0s5ziHszZUTJYhZX9ckq+2o5mI3ehRjw==" saltValue="QAb7rJ4mva3dTGSWd8OiSg==" spinCount="100000" sheet="1" objects="1" scenarios="1"/>
  <dataConsolidate/>
  <mergeCells count="216">
    <mergeCell ref="C15:C16"/>
    <mergeCell ref="D15:D16"/>
    <mergeCell ref="H15:H16"/>
    <mergeCell ref="I15:I16"/>
    <mergeCell ref="J15:Q15"/>
    <mergeCell ref="J16:Q16"/>
    <mergeCell ref="C9:C10"/>
    <mergeCell ref="D9:D10"/>
    <mergeCell ref="H9:H10"/>
    <mergeCell ref="I9:I10"/>
    <mergeCell ref="J9:Q9"/>
    <mergeCell ref="J10:Q10"/>
    <mergeCell ref="C13:C14"/>
    <mergeCell ref="D13:D14"/>
    <mergeCell ref="H13:H14"/>
    <mergeCell ref="I13:I14"/>
    <mergeCell ref="J17:Q17"/>
    <mergeCell ref="J18:Q18"/>
    <mergeCell ref="D2:E2"/>
    <mergeCell ref="D3:E3"/>
    <mergeCell ref="F3:M3"/>
    <mergeCell ref="D4:E4"/>
    <mergeCell ref="F4:M4"/>
    <mergeCell ref="D5:E5"/>
    <mergeCell ref="F5:M5"/>
    <mergeCell ref="J8:Q8"/>
    <mergeCell ref="C21:C22"/>
    <mergeCell ref="D21:D22"/>
    <mergeCell ref="H21:H22"/>
    <mergeCell ref="I21:I22"/>
    <mergeCell ref="J21:Q21"/>
    <mergeCell ref="J22:Q22"/>
    <mergeCell ref="J13:Q13"/>
    <mergeCell ref="J14:Q14"/>
    <mergeCell ref="C11:C12"/>
    <mergeCell ref="D11:D12"/>
    <mergeCell ref="H11:H12"/>
    <mergeCell ref="I11:I12"/>
    <mergeCell ref="J11:Q11"/>
    <mergeCell ref="J12:Q12"/>
    <mergeCell ref="C19:C20"/>
    <mergeCell ref="D19:D20"/>
    <mergeCell ref="H19:H20"/>
    <mergeCell ref="I19:I20"/>
    <mergeCell ref="J19:Q19"/>
    <mergeCell ref="J20:Q20"/>
    <mergeCell ref="C17:C18"/>
    <mergeCell ref="D17:D18"/>
    <mergeCell ref="H17:H18"/>
    <mergeCell ref="I17:I18"/>
    <mergeCell ref="C25:C26"/>
    <mergeCell ref="D25:D26"/>
    <mergeCell ref="H25:H26"/>
    <mergeCell ref="I25:I26"/>
    <mergeCell ref="J25:Q25"/>
    <mergeCell ref="J26:Q26"/>
    <mergeCell ref="C23:C24"/>
    <mergeCell ref="D23:D24"/>
    <mergeCell ref="H23:H24"/>
    <mergeCell ref="I23:I24"/>
    <mergeCell ref="J23:Q23"/>
    <mergeCell ref="J24:Q24"/>
    <mergeCell ref="C29:C30"/>
    <mergeCell ref="D29:D30"/>
    <mergeCell ref="H29:H30"/>
    <mergeCell ref="I29:I30"/>
    <mergeCell ref="J29:Q29"/>
    <mergeCell ref="J30:Q30"/>
    <mergeCell ref="C27:C28"/>
    <mergeCell ref="D27:D28"/>
    <mergeCell ref="H27:H28"/>
    <mergeCell ref="I27:I28"/>
    <mergeCell ref="J27:Q27"/>
    <mergeCell ref="J28:Q28"/>
    <mergeCell ref="C33:C34"/>
    <mergeCell ref="D33:D34"/>
    <mergeCell ref="H33:H34"/>
    <mergeCell ref="I33:I34"/>
    <mergeCell ref="J33:Q33"/>
    <mergeCell ref="J34:Q34"/>
    <mergeCell ref="C31:C32"/>
    <mergeCell ref="D31:D32"/>
    <mergeCell ref="H31:H32"/>
    <mergeCell ref="I31:I32"/>
    <mergeCell ref="J31:Q31"/>
    <mergeCell ref="J32:Q32"/>
    <mergeCell ref="C37:C38"/>
    <mergeCell ref="D37:D38"/>
    <mergeCell ref="H37:H38"/>
    <mergeCell ref="I37:I38"/>
    <mergeCell ref="J37:Q37"/>
    <mergeCell ref="J38:Q38"/>
    <mergeCell ref="C35:C36"/>
    <mergeCell ref="D35:D36"/>
    <mergeCell ref="H35:H36"/>
    <mergeCell ref="I35:I36"/>
    <mergeCell ref="J35:Q35"/>
    <mergeCell ref="J36:Q36"/>
    <mergeCell ref="C41:C42"/>
    <mergeCell ref="D41:D42"/>
    <mergeCell ref="H41:H42"/>
    <mergeCell ref="I41:I42"/>
    <mergeCell ref="J41:Q41"/>
    <mergeCell ref="J42:Q42"/>
    <mergeCell ref="C39:C40"/>
    <mergeCell ref="D39:D40"/>
    <mergeCell ref="H39:H40"/>
    <mergeCell ref="I39:I40"/>
    <mergeCell ref="J39:Q39"/>
    <mergeCell ref="J40:Q40"/>
    <mergeCell ref="C45:C46"/>
    <mergeCell ref="D45:D46"/>
    <mergeCell ref="H45:H46"/>
    <mergeCell ref="I45:I46"/>
    <mergeCell ref="J45:Q45"/>
    <mergeCell ref="J46:Q46"/>
    <mergeCell ref="C43:C44"/>
    <mergeCell ref="D43:D44"/>
    <mergeCell ref="H43:H44"/>
    <mergeCell ref="I43:I44"/>
    <mergeCell ref="J43:Q43"/>
    <mergeCell ref="J44:Q44"/>
    <mergeCell ref="C49:C50"/>
    <mergeCell ref="D49:D50"/>
    <mergeCell ref="H49:H50"/>
    <mergeCell ref="I49:I50"/>
    <mergeCell ref="J49:Q49"/>
    <mergeCell ref="J50:Q50"/>
    <mergeCell ref="C47:C48"/>
    <mergeCell ref="D47:D48"/>
    <mergeCell ref="H47:H48"/>
    <mergeCell ref="I47:I48"/>
    <mergeCell ref="J47:Q47"/>
    <mergeCell ref="J48:Q48"/>
    <mergeCell ref="H53:H54"/>
    <mergeCell ref="I53:I54"/>
    <mergeCell ref="J53:Q53"/>
    <mergeCell ref="J54:Q54"/>
    <mergeCell ref="C51:C52"/>
    <mergeCell ref="D51:D52"/>
    <mergeCell ref="H51:H52"/>
    <mergeCell ref="I51:I52"/>
    <mergeCell ref="J51:Q51"/>
    <mergeCell ref="J52:Q52"/>
    <mergeCell ref="L81:N81"/>
    <mergeCell ref="O81:R81"/>
    <mergeCell ref="I75:J77"/>
    <mergeCell ref="K75:L77"/>
    <mergeCell ref="J58:Q58"/>
    <mergeCell ref="C61:C62"/>
    <mergeCell ref="D61:D62"/>
    <mergeCell ref="H61:H62"/>
    <mergeCell ref="I61:I62"/>
    <mergeCell ref="J61:Q61"/>
    <mergeCell ref="J62:Q62"/>
    <mergeCell ref="C65:C66"/>
    <mergeCell ref="D65:D66"/>
    <mergeCell ref="H65:H66"/>
    <mergeCell ref="I65:I66"/>
    <mergeCell ref="J65:Q65"/>
    <mergeCell ref="J66:Q66"/>
    <mergeCell ref="C63:C64"/>
    <mergeCell ref="D63:D64"/>
    <mergeCell ref="H63:H64"/>
    <mergeCell ref="I63:I64"/>
    <mergeCell ref="J63:Q63"/>
    <mergeCell ref="J64:Q64"/>
    <mergeCell ref="C59:C60"/>
    <mergeCell ref="G74:H74"/>
    <mergeCell ref="J69:Q69"/>
    <mergeCell ref="J70:Q70"/>
    <mergeCell ref="I74:J74"/>
    <mergeCell ref="K74:L74"/>
    <mergeCell ref="J67:Q67"/>
    <mergeCell ref="J68:Q68"/>
    <mergeCell ref="B82:C85"/>
    <mergeCell ref="D82:F85"/>
    <mergeCell ref="G82:H85"/>
    <mergeCell ref="C69:C70"/>
    <mergeCell ref="D69:D70"/>
    <mergeCell ref="H69:H70"/>
    <mergeCell ref="B81:C81"/>
    <mergeCell ref="D81:F81"/>
    <mergeCell ref="G81:H81"/>
    <mergeCell ref="E75:F77"/>
    <mergeCell ref="G75:H77"/>
    <mergeCell ref="I82:K85"/>
    <mergeCell ref="L82:N85"/>
    <mergeCell ref="O82:R85"/>
    <mergeCell ref="I69:I70"/>
    <mergeCell ref="E74:F74"/>
    <mergeCell ref="I81:K81"/>
    <mergeCell ref="J60:Q60"/>
    <mergeCell ref="C57:C58"/>
    <mergeCell ref="D57:D58"/>
    <mergeCell ref="H57:H58"/>
    <mergeCell ref="I57:I58"/>
    <mergeCell ref="J57:Q57"/>
    <mergeCell ref="D6:E6"/>
    <mergeCell ref="F6:M6"/>
    <mergeCell ref="C67:C68"/>
    <mergeCell ref="D67:D68"/>
    <mergeCell ref="H67:H68"/>
    <mergeCell ref="I67:I68"/>
    <mergeCell ref="D59:D60"/>
    <mergeCell ref="H59:H60"/>
    <mergeCell ref="I59:I60"/>
    <mergeCell ref="J59:Q59"/>
    <mergeCell ref="C55:C56"/>
    <mergeCell ref="D55:D56"/>
    <mergeCell ref="H55:H56"/>
    <mergeCell ref="I55:I56"/>
    <mergeCell ref="J55:Q55"/>
    <mergeCell ref="J56:Q56"/>
    <mergeCell ref="C53:C54"/>
    <mergeCell ref="D53:D54"/>
  </mergeCells>
  <dataValidations count="1">
    <dataValidation type="list" allowBlank="1" sqref="G9:G70" xr:uid="{00000000-0002-0000-0400-000000000000}">
      <formula1>$U$11:$U$12</formula1>
    </dataValidation>
  </dataValidations>
  <pageMargins left="0.70866141732283472" right="0" top="0.74803149606299213" bottom="0" header="0.31496062992125984" footer="0.31496062992125984"/>
  <pageSetup paperSize="9" scale="50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'D:\Emerio\4.Timesheet\November\[Timesheet Format - 20160902 - Oct-16_Overtime.xlsx]List'!#REF!</xm:f>
          </x14:formula1>
          <xm:sqref>H5:M5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M7"/>
  <sheetViews>
    <sheetView workbookViewId="0"/>
  </sheetViews>
  <sheetFormatPr defaultRowHeight="14.5" x14ac:dyDescent="0.35"/>
  <cols>
    <col min="1" max="1" width="4.26953125" customWidth="1"/>
    <col min="2" max="2" width="9.1796875" customWidth="1"/>
    <col min="4" max="5" width="14.26953125" customWidth="1"/>
    <col min="6" max="9" width="17.81640625" customWidth="1"/>
  </cols>
  <sheetData>
    <row r="2" spans="2:13" x14ac:dyDescent="0.35">
      <c r="B2" s="2" t="s">
        <v>12</v>
      </c>
    </row>
    <row r="4" spans="2:13" ht="45" customHeight="1" x14ac:dyDescent="0.35">
      <c r="B4" s="1" t="s">
        <v>53</v>
      </c>
      <c r="C4" s="1" t="s">
        <v>54</v>
      </c>
      <c r="D4" s="1" t="s">
        <v>55</v>
      </c>
      <c r="E4" s="1" t="s">
        <v>56</v>
      </c>
      <c r="F4" s="1" t="s">
        <v>57</v>
      </c>
      <c r="G4" s="1" t="s">
        <v>58</v>
      </c>
      <c r="H4" s="1" t="s">
        <v>59</v>
      </c>
      <c r="I4" s="1" t="s">
        <v>60</v>
      </c>
      <c r="J4" s="1" t="s">
        <v>61</v>
      </c>
      <c r="K4" s="1" t="s">
        <v>62</v>
      </c>
      <c r="L4" s="1" t="s">
        <v>64</v>
      </c>
      <c r="M4" s="1" t="s">
        <v>63</v>
      </c>
    </row>
    <row r="5" spans="2:13" x14ac:dyDescent="0.35">
      <c r="B5" s="234">
        <f>C5*8</f>
        <v>744</v>
      </c>
      <c r="C5" s="234">
        <f>COUNT('Timesheet-Regular'!$F$11:$F$72)+COUNT('Timesheet-Regular'!$H$11:$H$72)+COUNT('Timesheet-Regular'!$I$11:$I$72)</f>
        <v>93</v>
      </c>
      <c r="D5" s="234">
        <f>SUM('Timesheet-Regular'!$F$11:$F$72)-SUM('Timesheet-Regular'!$H$11:$H$72)-SUM('Timesheet-Regular'!$I$11:$I$72)</f>
        <v>0</v>
      </c>
      <c r="E5" s="235">
        <f>$D$5/8</f>
        <v>0</v>
      </c>
      <c r="F5" s="235">
        <f>SUM('Timesheet-Regular'!$F$11:$F$72)+SUM('Timesheet-Regular'!$H$11:$H$72)+SUM('Timesheet-Regular'!$I$11:$I$72)-$B$5</f>
        <v>-744</v>
      </c>
      <c r="G5" s="235">
        <f>$F$5/8</f>
        <v>-93</v>
      </c>
      <c r="H5" s="235" t="e">
        <f>SUM('Timesheet-Regular'!#REF!)</f>
        <v>#REF!</v>
      </c>
      <c r="I5" s="235" t="e">
        <f>$H$5/8</f>
        <v>#REF!</v>
      </c>
      <c r="J5" s="235">
        <f>SUM('Timesheet-Regular'!$H$11:$H$72)</f>
        <v>0</v>
      </c>
      <c r="K5" s="235">
        <f>$J$5/8</f>
        <v>0</v>
      </c>
      <c r="L5" s="235">
        <f>SUM('Timesheet-Regular'!$I$11:$I$72)</f>
        <v>0</v>
      </c>
      <c r="M5" s="235">
        <f>$L$5/8</f>
        <v>0</v>
      </c>
    </row>
    <row r="6" spans="2:13" x14ac:dyDescent="0.35">
      <c r="B6" s="234"/>
      <c r="C6" s="234"/>
      <c r="D6" s="234"/>
      <c r="E6" s="236"/>
      <c r="F6" s="236"/>
      <c r="G6" s="236"/>
      <c r="H6" s="236"/>
      <c r="I6" s="236"/>
      <c r="J6" s="236"/>
      <c r="K6" s="236"/>
      <c r="L6" s="236"/>
      <c r="M6" s="236"/>
    </row>
    <row r="7" spans="2:13" x14ac:dyDescent="0.35">
      <c r="B7" s="234"/>
      <c r="C7" s="234"/>
      <c r="D7" s="234"/>
      <c r="E7" s="237"/>
      <c r="F7" s="237"/>
      <c r="G7" s="237"/>
      <c r="H7" s="237"/>
      <c r="I7" s="237"/>
      <c r="J7" s="237"/>
      <c r="K7" s="237"/>
      <c r="L7" s="237"/>
      <c r="M7" s="237"/>
    </row>
  </sheetData>
  <mergeCells count="12">
    <mergeCell ref="B5:B7"/>
    <mergeCell ref="J5:J7"/>
    <mergeCell ref="K5:K7"/>
    <mergeCell ref="L5:L7"/>
    <mergeCell ref="M5:M7"/>
    <mergeCell ref="C5:C7"/>
    <mergeCell ref="D5:D7"/>
    <mergeCell ref="E5:E7"/>
    <mergeCell ref="F5:F7"/>
    <mergeCell ref="G5:G7"/>
    <mergeCell ref="H5:H7"/>
    <mergeCell ref="I5:I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2:L1450"/>
  <sheetViews>
    <sheetView topLeftCell="B1" workbookViewId="0">
      <selection activeCell="H10" sqref="H10"/>
    </sheetView>
  </sheetViews>
  <sheetFormatPr defaultColWidth="9.1796875" defaultRowHeight="14.5" x14ac:dyDescent="0.35"/>
  <cols>
    <col min="1" max="1" width="25.26953125" style="92" bestFit="1" customWidth="1"/>
    <col min="2" max="2" width="25" style="92" customWidth="1"/>
    <col min="3" max="3" width="9.54296875" style="3" bestFit="1" customWidth="1"/>
    <col min="4" max="4" width="8.7265625" style="3" bestFit="1" customWidth="1"/>
    <col min="5" max="5" width="25" style="3" customWidth="1"/>
    <col min="6" max="6" width="14.26953125" style="110" customWidth="1"/>
    <col min="7" max="8" width="25" style="3" customWidth="1"/>
    <col min="9" max="9" width="11.7265625" style="8" bestFit="1" customWidth="1"/>
    <col min="10" max="10" width="10.1796875" bestFit="1" customWidth="1"/>
    <col min="11" max="11" width="12.26953125" style="29" bestFit="1" customWidth="1"/>
    <col min="12" max="16384" width="9.1796875" style="3"/>
  </cols>
  <sheetData>
    <row r="2" spans="1:12" ht="13" x14ac:dyDescent="0.3">
      <c r="B2" s="92" t="s">
        <v>0</v>
      </c>
      <c r="C2" s="3" t="s">
        <v>65</v>
      </c>
      <c r="D2" s="3" t="s">
        <v>67</v>
      </c>
      <c r="F2" s="109"/>
      <c r="G2" s="3" t="s">
        <v>52</v>
      </c>
      <c r="H2" s="3" t="s">
        <v>51</v>
      </c>
      <c r="I2" s="3" t="s">
        <v>86</v>
      </c>
      <c r="J2" s="27" t="s">
        <v>128</v>
      </c>
      <c r="K2" s="30" t="s">
        <v>131</v>
      </c>
    </row>
    <row r="3" spans="1:12" x14ac:dyDescent="0.35">
      <c r="A3" s="103" t="s">
        <v>179</v>
      </c>
      <c r="J3">
        <f>'Timesheet-Regular'!D6</f>
        <v>0</v>
      </c>
      <c r="K3" s="239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"",
IF('Timesheet-Regular'!F11&gt;0,'Timesheet-Regular'!F11,IF('Timesheet-Regular'!H11&gt;0,'Timesheet-Regular'!H11,IF('Timesheet-Regular'!I11&gt;0,'Timesheet-Regular'!I11,0))))</f>
        <v>0</v>
      </c>
      <c r="L3" s="238" t="str">
        <f>IF('Timesheet-Regular'!$D$6="No","",'Timesheet-Regular'!G11)</f>
        <v/>
      </c>
    </row>
    <row r="4" spans="1:12" x14ac:dyDescent="0.35">
      <c r="A4" s="99" t="s">
        <v>33</v>
      </c>
      <c r="B4" s="93" t="s">
        <v>33</v>
      </c>
      <c r="C4" s="6" t="s">
        <v>68</v>
      </c>
      <c r="D4" s="6" t="s">
        <v>70</v>
      </c>
      <c r="E4" s="105">
        <v>44562</v>
      </c>
      <c r="F4" s="111">
        <v>21</v>
      </c>
      <c r="G4" s="106" t="s">
        <v>43</v>
      </c>
      <c r="H4" s="7" t="s">
        <v>43</v>
      </c>
      <c r="I4" s="9">
        <v>44593</v>
      </c>
      <c r="K4" s="239"/>
      <c r="L4" s="238"/>
    </row>
    <row r="5" spans="1:12" x14ac:dyDescent="0.35">
      <c r="A5" s="101" t="s">
        <v>34</v>
      </c>
      <c r="B5" s="93" t="s">
        <v>16</v>
      </c>
      <c r="C5" s="6" t="s">
        <v>69</v>
      </c>
      <c r="D5" s="6" t="s">
        <v>71</v>
      </c>
      <c r="E5" s="105">
        <v>44593</v>
      </c>
      <c r="F5" s="111">
        <v>18</v>
      </c>
      <c r="G5" s="106" t="s">
        <v>44</v>
      </c>
      <c r="H5" s="7" t="s">
        <v>44</v>
      </c>
      <c r="I5" s="9">
        <v>44620</v>
      </c>
      <c r="J5" t="str">
        <f>IF(J3="yes","Morning","")</f>
        <v/>
      </c>
      <c r="K5" s="239" t="str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"",
IF('Timesheet-Regular'!F13&gt;0,'Timesheet-Regular'!F13,IF('Timesheet-Regular'!H13&gt;0,'Timesheet-Regular'!H13,IF('Timesheet-Regular'!I13&gt;0,'Timesheet-Regular'!I13,0))))</f>
        <v/>
      </c>
      <c r="L5" s="238" t="str">
        <f>IF('Timesheet-Regular'!$D$6="No","",'Timesheet-Regular'!G13)</f>
        <v/>
      </c>
    </row>
    <row r="6" spans="1:12" x14ac:dyDescent="0.35">
      <c r="A6" s="100" t="s">
        <v>18</v>
      </c>
      <c r="B6" s="93" t="s">
        <v>34</v>
      </c>
      <c r="C6" s="5"/>
      <c r="D6" s="6" t="s">
        <v>72</v>
      </c>
      <c r="E6" s="105">
        <v>44621</v>
      </c>
      <c r="F6" s="111">
        <v>22</v>
      </c>
      <c r="G6" s="106" t="s">
        <v>45</v>
      </c>
      <c r="H6" s="7" t="s">
        <v>45</v>
      </c>
      <c r="I6" s="9">
        <v>44623</v>
      </c>
      <c r="J6" t="str">
        <f>IF(J3="yes","Afternoon","")</f>
        <v/>
      </c>
      <c r="K6" s="239"/>
      <c r="L6" s="238"/>
    </row>
    <row r="7" spans="1:12" x14ac:dyDescent="0.35">
      <c r="A7" s="99" t="s">
        <v>24</v>
      </c>
      <c r="B7" s="93" t="s">
        <v>135</v>
      </c>
      <c r="C7" s="5"/>
      <c r="D7" s="5"/>
      <c r="E7" s="105">
        <v>44652</v>
      </c>
      <c r="F7" s="111">
        <v>20</v>
      </c>
      <c r="G7" s="106" t="s">
        <v>129</v>
      </c>
      <c r="H7" s="7" t="s">
        <v>46</v>
      </c>
      <c r="I7" s="9">
        <v>44666</v>
      </c>
      <c r="J7" t="str">
        <f>IF(J3="yes","Night","")</f>
        <v/>
      </c>
      <c r="K7" s="239" t="str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"",
IF('Timesheet-Regular'!F15&gt;0,'Timesheet-Regular'!F15,IF('Timesheet-Regular'!H15&gt;0,'Timesheet-Regular'!H15,IF('Timesheet-Regular'!I15&gt;0,'Timesheet-Regular'!I15,0))))</f>
        <v/>
      </c>
      <c r="L7" s="238" t="str">
        <f>IF('Timesheet-Regular'!$D$6="No","",'Timesheet-Regular'!G15)</f>
        <v/>
      </c>
    </row>
    <row r="8" spans="1:12" x14ac:dyDescent="0.35">
      <c r="A8" s="101" t="s">
        <v>80</v>
      </c>
      <c r="B8" s="93" t="s">
        <v>17</v>
      </c>
      <c r="C8" s="5"/>
      <c r="D8" s="5"/>
      <c r="E8" s="105">
        <v>44682</v>
      </c>
      <c r="F8" s="111">
        <v>18</v>
      </c>
      <c r="G8" s="106" t="s">
        <v>130</v>
      </c>
      <c r="H8" s="7" t="s">
        <v>47</v>
      </c>
      <c r="I8" s="9">
        <v>44683</v>
      </c>
      <c r="K8" s="239"/>
      <c r="L8" s="238"/>
    </row>
    <row r="9" spans="1:12" x14ac:dyDescent="0.35">
      <c r="A9" s="101" t="s">
        <v>217</v>
      </c>
      <c r="B9" s="93" t="s">
        <v>207</v>
      </c>
      <c r="C9" s="5"/>
      <c r="D9" s="5"/>
      <c r="E9" s="105">
        <v>44713</v>
      </c>
      <c r="F9" s="111">
        <v>21</v>
      </c>
      <c r="G9" s="106" t="s">
        <v>48</v>
      </c>
      <c r="H9" s="7" t="s">
        <v>48</v>
      </c>
      <c r="I9" s="9">
        <v>44684</v>
      </c>
      <c r="K9" s="239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"",
IF('Timesheet-Regular'!F17&gt;0,'Timesheet-Regular'!F17,IF('Timesheet-Regular'!H17&gt;0,'Timesheet-Regular'!H17,IF('Timesheet-Regular'!I17&gt;0,'Timesheet-Regular'!I17,0))))</f>
        <v>0</v>
      </c>
      <c r="L9" s="238" t="str">
        <f>IF('Timesheet-Regular'!$D$6="No","",'Timesheet-Regular'!G17)</f>
        <v/>
      </c>
    </row>
    <row r="10" spans="1:12" x14ac:dyDescent="0.35">
      <c r="A10" s="101" t="s">
        <v>224</v>
      </c>
      <c r="B10" s="93" t="s">
        <v>32</v>
      </c>
      <c r="C10" s="5"/>
      <c r="D10" s="5"/>
      <c r="E10" s="105">
        <v>44743</v>
      </c>
      <c r="F10" s="111">
        <v>21</v>
      </c>
      <c r="G10" s="106" t="s">
        <v>87</v>
      </c>
      <c r="H10" s="106" t="s">
        <v>189</v>
      </c>
      <c r="I10" s="9">
        <v>44697</v>
      </c>
      <c r="K10" s="239"/>
      <c r="L10" s="238"/>
    </row>
    <row r="11" spans="1:12" x14ac:dyDescent="0.35">
      <c r="A11" s="99" t="s">
        <v>37</v>
      </c>
      <c r="B11" s="93" t="s">
        <v>219</v>
      </c>
      <c r="C11" s="5"/>
      <c r="D11" s="5"/>
      <c r="E11" s="105">
        <v>44774</v>
      </c>
      <c r="F11" s="111">
        <v>20</v>
      </c>
      <c r="G11" s="106" t="s">
        <v>88</v>
      </c>
      <c r="I11" s="9">
        <v>44707</v>
      </c>
      <c r="K11" s="239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"",
IF('Timesheet-Regular'!F19&gt;0,'Timesheet-Regular'!F19,IF('Timesheet-Regular'!H19&gt;0,'Timesheet-Regular'!H19,IF('Timesheet-Regular'!I19&gt;0,'Timesheet-Regular'!I19,0))))</f>
        <v>0</v>
      </c>
      <c r="L11" s="238" t="str">
        <f>IF('Timesheet-Regular'!$D$6="No","",'Timesheet-Regular'!G19)</f>
        <v/>
      </c>
    </row>
    <row r="12" spans="1:12" x14ac:dyDescent="0.35">
      <c r="A12" s="99" t="s">
        <v>219</v>
      </c>
      <c r="B12" s="93" t="s">
        <v>78</v>
      </c>
      <c r="C12" s="5"/>
      <c r="D12" s="5"/>
      <c r="E12" s="105">
        <v>44805</v>
      </c>
      <c r="F12" s="111">
        <v>22</v>
      </c>
      <c r="G12" s="106" t="s">
        <v>50</v>
      </c>
      <c r="I12" s="9">
        <v>44713</v>
      </c>
      <c r="K12" s="239"/>
      <c r="L12" s="238"/>
    </row>
    <row r="13" spans="1:12" x14ac:dyDescent="0.35">
      <c r="A13" s="100" t="s">
        <v>203</v>
      </c>
      <c r="B13" s="93" t="s">
        <v>24</v>
      </c>
      <c r="C13" s="5"/>
      <c r="D13" s="5"/>
      <c r="E13" s="105">
        <v>44835</v>
      </c>
      <c r="F13" s="111">
        <v>20</v>
      </c>
      <c r="G13" s="106" t="s">
        <v>49</v>
      </c>
      <c r="I13" s="9"/>
      <c r="K13" s="239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"",
IF('Timesheet-Regular'!F21&gt;0,'Timesheet-Regular'!F21,IF('Timesheet-Regular'!H21&gt;0,'Timesheet-Regular'!H21,IF('Timesheet-Regular'!I21&gt;0,'Timesheet-Regular'!I21,0))))</f>
        <v>0</v>
      </c>
      <c r="L13" s="238" t="str">
        <f>IF('Timesheet-Regular'!$D$6="No","",'Timesheet-Regular'!G21)</f>
        <v/>
      </c>
    </row>
    <row r="14" spans="1:12" x14ac:dyDescent="0.35">
      <c r="A14" s="99" t="s">
        <v>19</v>
      </c>
      <c r="B14" s="93" t="s">
        <v>213</v>
      </c>
      <c r="C14" s="5"/>
      <c r="D14" s="5"/>
      <c r="E14" s="105">
        <v>44866</v>
      </c>
      <c r="F14" s="111">
        <v>22</v>
      </c>
      <c r="G14" s="106" t="s">
        <v>189</v>
      </c>
      <c r="I14" s="9"/>
      <c r="K14" s="239"/>
      <c r="L14" s="238"/>
    </row>
    <row r="15" spans="1:12" x14ac:dyDescent="0.35">
      <c r="A15" s="100" t="s">
        <v>202</v>
      </c>
      <c r="B15" s="93" t="s">
        <v>18</v>
      </c>
      <c r="C15" s="5"/>
      <c r="D15" s="5"/>
      <c r="E15" s="105">
        <v>44896</v>
      </c>
      <c r="F15" s="111">
        <v>23</v>
      </c>
      <c r="G15" s="25"/>
      <c r="I15" s="9"/>
      <c r="K15" s="239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"",
IF('Timesheet-Regular'!F23&gt;0,'Timesheet-Regular'!F23,IF('Timesheet-Regular'!H23&gt;0,'Timesheet-Regular'!H23,IF('Timesheet-Regular'!I23&gt;0,'Timesheet-Regular'!I23,0))))</f>
        <v>0</v>
      </c>
      <c r="L15" s="238" t="str">
        <f>IF('Timesheet-Regular'!$D$6="No","",'Timesheet-Regular'!G23)</f>
        <v/>
      </c>
    </row>
    <row r="16" spans="1:12" x14ac:dyDescent="0.35">
      <c r="A16" s="100" t="s">
        <v>188</v>
      </c>
      <c r="B16" s="93" t="s">
        <v>35</v>
      </c>
      <c r="C16" s="5"/>
      <c r="D16" s="5"/>
      <c r="E16" s="4"/>
      <c r="F16" s="112"/>
      <c r="I16" s="9"/>
      <c r="K16" s="239"/>
      <c r="L16" s="238"/>
    </row>
    <row r="17" spans="1:12" x14ac:dyDescent="0.35">
      <c r="A17" s="100" t="s">
        <v>194</v>
      </c>
      <c r="B17" s="93" t="s">
        <v>136</v>
      </c>
      <c r="C17" s="5"/>
      <c r="D17" s="5"/>
      <c r="E17" s="4"/>
      <c r="F17" s="112"/>
      <c r="I17" s="9"/>
      <c r="K17" s="239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"",
IF('Timesheet-Regular'!F25&gt;0,'Timesheet-Regular'!F25,IF('Timesheet-Regular'!H25&gt;0,'Timesheet-Regular'!H25,IF('Timesheet-Regular'!I25&gt;0,'Timesheet-Regular'!I25,0))))</f>
        <v>0</v>
      </c>
      <c r="L17" s="238" t="str">
        <f>IF('Timesheet-Regular'!$D$6="No","",'Timesheet-Regular'!G25)</f>
        <v/>
      </c>
    </row>
    <row r="18" spans="1:12" x14ac:dyDescent="0.35">
      <c r="A18" s="100"/>
      <c r="B18" s="93" t="s">
        <v>79</v>
      </c>
      <c r="C18" s="5"/>
      <c r="D18" s="5"/>
      <c r="E18" s="4" t="s">
        <v>185</v>
      </c>
      <c r="F18" s="112">
        <f>VLOOKUP('Timesheet-Regular'!D7,List!E4:F15,2,0)</f>
        <v>21</v>
      </c>
      <c r="G18" s="26"/>
      <c r="I18" s="9"/>
      <c r="K18" s="239"/>
      <c r="L18" s="238"/>
    </row>
    <row r="19" spans="1:12" x14ac:dyDescent="0.35">
      <c r="A19" s="99" t="s">
        <v>20</v>
      </c>
      <c r="B19" s="93" t="s">
        <v>80</v>
      </c>
      <c r="C19" s="5"/>
      <c r="D19" s="5"/>
      <c r="E19" s="4" t="s">
        <v>184</v>
      </c>
      <c r="F19" s="112">
        <f>IF('Timesheet-Regular'!D5="Existing",IF('Timesheet-Regular'!F77=List!F18,VLOOKUP('Timesheet-Regular'!D7,List!E4:F15,2,0),0),VLOOKUP('Timesheet-Regular'!D7,List!E4:F15,2,0))</f>
        <v>21</v>
      </c>
      <c r="K19" s="239" t="str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"",
IF('Timesheet-Regular'!F27&gt;0,'Timesheet-Regular'!F27,IF('Timesheet-Regular'!H27&gt;0,'Timesheet-Regular'!H27,IF('Timesheet-Regular'!I27&gt;0,'Timesheet-Regular'!I27,0))))</f>
        <v/>
      </c>
      <c r="L19" s="238" t="str">
        <f>IF('Timesheet-Regular'!$D$6="No","",'Timesheet-Regular'!G27)</f>
        <v/>
      </c>
    </row>
    <row r="20" spans="1:12" x14ac:dyDescent="0.35">
      <c r="A20" s="100" t="s">
        <v>215</v>
      </c>
      <c r="B20" s="93" t="s">
        <v>36</v>
      </c>
      <c r="C20" s="5"/>
      <c r="D20" s="5"/>
      <c r="E20" s="4"/>
      <c r="F20" s="112"/>
      <c r="K20" s="239"/>
      <c r="L20" s="238"/>
    </row>
    <row r="21" spans="1:12" x14ac:dyDescent="0.35">
      <c r="A21" s="101" t="s">
        <v>85</v>
      </c>
      <c r="B21" s="93" t="s">
        <v>214</v>
      </c>
      <c r="C21" s="5"/>
      <c r="D21" s="5"/>
      <c r="F21" s="112"/>
      <c r="K21" s="239" t="str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"",
IF('Timesheet-Regular'!F29&gt;0,'Timesheet-Regular'!F29,IF('Timesheet-Regular'!H29&gt;0,'Timesheet-Regular'!H29,IF('Timesheet-Regular'!I29&gt;0,'Timesheet-Regular'!I29,0))))</f>
        <v/>
      </c>
      <c r="L21" s="238" t="str">
        <f>IF('Timesheet-Regular'!$D$6="No","",'Timesheet-Regular'!G29)</f>
        <v/>
      </c>
    </row>
    <row r="22" spans="1:12" x14ac:dyDescent="0.35">
      <c r="A22" s="101" t="s">
        <v>201</v>
      </c>
      <c r="B22" s="93" t="s">
        <v>81</v>
      </c>
      <c r="C22" s="5"/>
      <c r="D22" s="5"/>
      <c r="F22" s="112"/>
      <c r="K22" s="239"/>
      <c r="L22" s="238"/>
    </row>
    <row r="23" spans="1:12" x14ac:dyDescent="0.35">
      <c r="A23" s="100" t="s">
        <v>26</v>
      </c>
      <c r="B23" s="93" t="s">
        <v>37</v>
      </c>
      <c r="C23" s="5"/>
      <c r="D23" s="5"/>
      <c r="F23" s="112"/>
      <c r="K23" s="239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"",
IF('Timesheet-Regular'!F31&gt;0,'Timesheet-Regular'!F31,IF('Timesheet-Regular'!H31&gt;0,'Timesheet-Regular'!H31,IF('Timesheet-Regular'!I31&gt;0,'Timesheet-Regular'!I31,0))))</f>
        <v>0</v>
      </c>
      <c r="L23" s="238" t="str">
        <f>IF('Timesheet-Regular'!$D$6="No","",'Timesheet-Regular'!G31)</f>
        <v/>
      </c>
    </row>
    <row r="24" spans="1:12" x14ac:dyDescent="0.35">
      <c r="A24" s="100" t="s">
        <v>27</v>
      </c>
      <c r="B24" s="93" t="s">
        <v>174</v>
      </c>
      <c r="C24" s="5"/>
      <c r="D24" s="5"/>
      <c r="F24" s="112"/>
      <c r="K24" s="239"/>
      <c r="L24" s="238"/>
    </row>
    <row r="25" spans="1:12" x14ac:dyDescent="0.35">
      <c r="A25" s="101"/>
      <c r="B25" s="93" t="s">
        <v>212</v>
      </c>
      <c r="C25" s="5"/>
      <c r="D25" s="5"/>
      <c r="F25" s="112"/>
      <c r="K25" s="239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"",
IF('Timesheet-Regular'!F33&gt;0,'Timesheet-Regular'!F33,IF('Timesheet-Regular'!H33&gt;0,'Timesheet-Regular'!H33,IF('Timesheet-Regular'!I33&gt;0,'Timesheet-Regular'!I33,0))))</f>
        <v>0</v>
      </c>
      <c r="L25" s="238" t="str">
        <f>IF('Timesheet-Regular'!$D$6="No","",'Timesheet-Regular'!G33)</f>
        <v/>
      </c>
    </row>
    <row r="26" spans="1:12" x14ac:dyDescent="0.35">
      <c r="A26" s="99" t="s">
        <v>79</v>
      </c>
      <c r="B26" s="93" t="s">
        <v>82</v>
      </c>
      <c r="C26" s="5"/>
      <c r="D26" s="5"/>
      <c r="F26" s="112"/>
      <c r="K26" s="239"/>
      <c r="L26" s="238"/>
    </row>
    <row r="27" spans="1:12" x14ac:dyDescent="0.35">
      <c r="A27" s="99" t="s">
        <v>30</v>
      </c>
      <c r="B27" s="93" t="s">
        <v>19</v>
      </c>
      <c r="C27" s="5"/>
      <c r="D27" s="5"/>
      <c r="F27" s="112"/>
      <c r="K27" s="239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"",
IF('Timesheet-Regular'!F35&gt;0,'Timesheet-Regular'!F35,IF('Timesheet-Regular'!H35&gt;0,'Timesheet-Regular'!H35,IF('Timesheet-Regular'!I35&gt;0,'Timesheet-Regular'!I35,0))))</f>
        <v>0</v>
      </c>
      <c r="L27" s="238" t="str">
        <f>IF('Timesheet-Regular'!$D$6="No","",'Timesheet-Regular'!G35)</f>
        <v/>
      </c>
    </row>
    <row r="28" spans="1:12" x14ac:dyDescent="0.35">
      <c r="A28" s="101" t="s">
        <v>39</v>
      </c>
      <c r="B28" s="93" t="s">
        <v>83</v>
      </c>
      <c r="C28" s="5"/>
      <c r="D28" s="5"/>
      <c r="F28" s="112"/>
      <c r="K28" s="239"/>
      <c r="L28" s="238"/>
    </row>
    <row r="29" spans="1:12" x14ac:dyDescent="0.35">
      <c r="A29" s="101" t="s">
        <v>204</v>
      </c>
      <c r="B29" s="93" t="s">
        <v>38</v>
      </c>
      <c r="C29" s="5"/>
      <c r="D29" s="5"/>
      <c r="F29" s="112"/>
      <c r="K29" s="239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"",
IF('Timesheet-Regular'!F37&gt;0,'Timesheet-Regular'!F37,IF('Timesheet-Regular'!H37&gt;0,'Timesheet-Regular'!H37,IF('Timesheet-Regular'!I37&gt;0,'Timesheet-Regular'!I37,0))))</f>
        <v>0</v>
      </c>
      <c r="L29" s="238" t="str">
        <f>IF('Timesheet-Regular'!$D$6="No","",'Timesheet-Regular'!G37)</f>
        <v/>
      </c>
    </row>
    <row r="30" spans="1:12" x14ac:dyDescent="0.35">
      <c r="A30" s="99" t="s">
        <v>28</v>
      </c>
      <c r="B30" s="93" t="s">
        <v>188</v>
      </c>
      <c r="C30" s="5"/>
      <c r="D30" s="5"/>
      <c r="F30" s="112"/>
      <c r="K30" s="239"/>
      <c r="L30" s="238"/>
    </row>
    <row r="31" spans="1:12" x14ac:dyDescent="0.35">
      <c r="A31" s="100" t="s">
        <v>21</v>
      </c>
      <c r="B31" s="93" t="s">
        <v>137</v>
      </c>
      <c r="C31" s="5"/>
      <c r="D31" s="5"/>
      <c r="F31" s="112"/>
      <c r="K31" s="239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"",
IF('Timesheet-Regular'!F39&gt;0,'Timesheet-Regular'!F39,IF('Timesheet-Regular'!H39&gt;0,'Timesheet-Regular'!H39,IF('Timesheet-Regular'!I39&gt;0,'Timesheet-Regular'!I39,0))))</f>
        <v>0</v>
      </c>
      <c r="L31" s="238" t="str">
        <f>IF('Timesheet-Regular'!$D$6="No","",'Timesheet-Regular'!G39)</f>
        <v/>
      </c>
    </row>
    <row r="32" spans="1:12" x14ac:dyDescent="0.35">
      <c r="A32" s="100" t="s">
        <v>144</v>
      </c>
      <c r="B32" s="93" t="s">
        <v>191</v>
      </c>
      <c r="C32" s="5"/>
      <c r="D32" s="5"/>
      <c r="F32" s="112"/>
      <c r="K32" s="239"/>
      <c r="L32" s="238"/>
    </row>
    <row r="33" spans="1:12" x14ac:dyDescent="0.35">
      <c r="A33" s="99" t="s">
        <v>23</v>
      </c>
      <c r="B33" s="93" t="s">
        <v>84</v>
      </c>
      <c r="C33" s="5"/>
      <c r="D33" s="5"/>
      <c r="F33" s="112"/>
      <c r="K33" s="239" t="str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"",
IF('Timesheet-Regular'!F41&gt;0,'Timesheet-Regular'!F41,IF('Timesheet-Regular'!H41&gt;0,'Timesheet-Regular'!H41,IF('Timesheet-Regular'!I41&gt;0,'Timesheet-Regular'!I41,0))))</f>
        <v/>
      </c>
      <c r="L33" s="238" t="str">
        <f>IF('Timesheet-Regular'!$D$6="No","",'Timesheet-Regular'!G41)</f>
        <v/>
      </c>
    </row>
    <row r="34" spans="1:12" x14ac:dyDescent="0.35">
      <c r="A34" s="100" t="s">
        <v>192</v>
      </c>
      <c r="B34" s="93" t="s">
        <v>29</v>
      </c>
      <c r="C34" s="5"/>
      <c r="D34" s="5"/>
      <c r="F34" s="112"/>
      <c r="K34" s="239"/>
      <c r="L34" s="238"/>
    </row>
    <row r="35" spans="1:12" x14ac:dyDescent="0.35">
      <c r="A35" s="100" t="s">
        <v>210</v>
      </c>
      <c r="B35" s="93" t="s">
        <v>194</v>
      </c>
      <c r="C35" s="5"/>
      <c r="D35" s="5"/>
      <c r="F35" s="112"/>
      <c r="K35" s="239" t="str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"",
IF('Timesheet-Regular'!F43&gt;0,'Timesheet-Regular'!F43,IF('Timesheet-Regular'!H43&gt;0,'Timesheet-Regular'!H43,IF('Timesheet-Regular'!I43&gt;0,'Timesheet-Regular'!I43,0))))</f>
        <v/>
      </c>
      <c r="L35" s="238" t="str">
        <f>IF('Timesheet-Regular'!$D$6="No","",'Timesheet-Regular'!G43)</f>
        <v/>
      </c>
    </row>
    <row r="36" spans="1:12" x14ac:dyDescent="0.35">
      <c r="A36" s="100" t="s">
        <v>196</v>
      </c>
      <c r="B36" s="93" t="s">
        <v>175</v>
      </c>
      <c r="C36" s="5"/>
      <c r="D36" s="5"/>
      <c r="F36" s="112"/>
      <c r="K36" s="239"/>
      <c r="L36" s="238"/>
    </row>
    <row r="37" spans="1:12" x14ac:dyDescent="0.35">
      <c r="A37" s="100" t="s">
        <v>211</v>
      </c>
      <c r="B37" s="93" t="s">
        <v>25</v>
      </c>
      <c r="C37" s="5"/>
      <c r="D37" s="5"/>
      <c r="F37" s="112"/>
      <c r="K37" s="239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"",
IF('Timesheet-Regular'!F45&gt;0,'Timesheet-Regular'!F45,IF('Timesheet-Regular'!H45&gt;0,'Timesheet-Regular'!H45,IF('Timesheet-Regular'!I45&gt;0,'Timesheet-Regular'!I45,0))))</f>
        <v>0</v>
      </c>
      <c r="L37" s="238" t="str">
        <f>IF('Timesheet-Regular'!$D$6="No","",'Timesheet-Regular'!G45)</f>
        <v/>
      </c>
    </row>
    <row r="38" spans="1:12" x14ac:dyDescent="0.35">
      <c r="A38" s="100" t="s">
        <v>40</v>
      </c>
      <c r="B38" s="93" t="s">
        <v>20</v>
      </c>
      <c r="C38" s="5"/>
      <c r="D38" s="5"/>
      <c r="F38" s="112"/>
      <c r="K38" s="239"/>
      <c r="L38" s="238"/>
    </row>
    <row r="39" spans="1:12" x14ac:dyDescent="0.35">
      <c r="A39" s="100" t="s">
        <v>212</v>
      </c>
      <c r="B39" s="93" t="s">
        <v>85</v>
      </c>
      <c r="F39" s="112"/>
      <c r="K39" s="239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"",
IF('Timesheet-Regular'!F47&gt;0,'Timesheet-Regular'!F47,IF('Timesheet-Regular'!H47&gt;0,'Timesheet-Regular'!H47,IF('Timesheet-Regular'!I47&gt;0,'Timesheet-Regular'!I47,0))))</f>
        <v>0</v>
      </c>
      <c r="L39" s="238" t="str">
        <f>IF('Timesheet-Regular'!$D$6="No","",'Timesheet-Regular'!G47)</f>
        <v/>
      </c>
    </row>
    <row r="40" spans="1:12" x14ac:dyDescent="0.35">
      <c r="A40" s="100" t="s">
        <v>218</v>
      </c>
      <c r="B40" s="93" t="s">
        <v>201</v>
      </c>
      <c r="F40" s="112"/>
      <c r="K40" s="239"/>
      <c r="L40" s="238"/>
    </row>
    <row r="41" spans="1:12" x14ac:dyDescent="0.35">
      <c r="A41" s="101" t="s">
        <v>42</v>
      </c>
      <c r="B41" s="93" t="s">
        <v>26</v>
      </c>
      <c r="F41" s="112"/>
      <c r="K41" s="239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"",
IF('Timesheet-Regular'!F49&gt;0,'Timesheet-Regular'!F49,IF('Timesheet-Regular'!H49&gt;0,'Timesheet-Regular'!H49,IF('Timesheet-Regular'!I49&gt;0,'Timesheet-Regular'!I49,0))))</f>
        <v>0</v>
      </c>
      <c r="L41" s="238" t="str">
        <f>IF('Timesheet-Regular'!$D$6="No","",'Timesheet-Regular'!G49)</f>
        <v/>
      </c>
    </row>
    <row r="42" spans="1:12" x14ac:dyDescent="0.35">
      <c r="A42" s="101" t="s">
        <v>209</v>
      </c>
      <c r="B42" s="93" t="s">
        <v>127</v>
      </c>
      <c r="F42" s="112"/>
      <c r="K42" s="239"/>
      <c r="L42" s="238"/>
    </row>
    <row r="43" spans="1:12" x14ac:dyDescent="0.35">
      <c r="B43" s="93" t="s">
        <v>27</v>
      </c>
      <c r="F43" s="112"/>
      <c r="K43" s="239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"",
IF('Timesheet-Regular'!F51&gt;0,'Timesheet-Regular'!F51,IF('Timesheet-Regular'!H51&gt;0,'Timesheet-Regular'!H51,IF('Timesheet-Regular'!I51&gt;0,'Timesheet-Regular'!I51,0))))</f>
        <v>0</v>
      </c>
      <c r="L43" s="238" t="str">
        <f>IF('Timesheet-Regular'!$D$6="No","",'Timesheet-Regular'!G51)</f>
        <v/>
      </c>
    </row>
    <row r="44" spans="1:12" x14ac:dyDescent="0.35">
      <c r="A44" s="102" t="s">
        <v>16</v>
      </c>
      <c r="B44" s="93" t="s">
        <v>176</v>
      </c>
      <c r="F44" s="112"/>
      <c r="K44" s="239"/>
      <c r="L44" s="238"/>
    </row>
    <row r="45" spans="1:12" x14ac:dyDescent="0.35">
      <c r="A45" s="102"/>
      <c r="B45" s="93" t="s">
        <v>30</v>
      </c>
      <c r="F45" s="112"/>
      <c r="K45" s="239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"",
IF('Timesheet-Regular'!F53&gt;0,'Timesheet-Regular'!F53,IF('Timesheet-Regular'!H53&gt;0,'Timesheet-Regular'!H53,IF('Timesheet-Regular'!I53&gt;0,'Timesheet-Regular'!I53,0))))</f>
        <v>0</v>
      </c>
      <c r="L45" s="238" t="str">
        <f>IF('Timesheet-Regular'!$D$6="No","",'Timesheet-Regular'!G53)</f>
        <v/>
      </c>
    </row>
    <row r="46" spans="1:12" x14ac:dyDescent="0.35">
      <c r="A46" s="102" t="s">
        <v>135</v>
      </c>
      <c r="B46" s="93" t="s">
        <v>224</v>
      </c>
      <c r="F46" s="112"/>
      <c r="K46" s="239"/>
      <c r="L46" s="238"/>
    </row>
    <row r="47" spans="1:12" x14ac:dyDescent="0.35">
      <c r="A47" s="102" t="s">
        <v>32</v>
      </c>
      <c r="B47" s="93" t="s">
        <v>39</v>
      </c>
      <c r="F47" s="112"/>
      <c r="K47" s="239" t="str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"",
IF('Timesheet-Regular'!F55&gt;0,'Timesheet-Regular'!F55,IF('Timesheet-Regular'!H55&gt;0,'Timesheet-Regular'!H55,IF('Timesheet-Regular'!I55&gt;0,'Timesheet-Regular'!I55,0))))</f>
        <v/>
      </c>
      <c r="L47" s="238" t="str">
        <f>IF('Timesheet-Regular'!$D$6="No","",'Timesheet-Regular'!G55)</f>
        <v/>
      </c>
    </row>
    <row r="48" spans="1:12" x14ac:dyDescent="0.35">
      <c r="A48" s="102" t="s">
        <v>78</v>
      </c>
      <c r="B48" s="93" t="s">
        <v>28</v>
      </c>
      <c r="F48" s="112"/>
      <c r="K48" s="239"/>
      <c r="L48" s="238"/>
    </row>
    <row r="49" spans="1:12" x14ac:dyDescent="0.35">
      <c r="A49" s="102" t="s">
        <v>35</v>
      </c>
      <c r="B49" s="93" t="s">
        <v>210</v>
      </c>
      <c r="F49" s="112"/>
      <c r="K49" s="239" t="str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"",
IF('Timesheet-Regular'!F57&gt;0,'Timesheet-Regular'!F57,IF('Timesheet-Regular'!H57&gt;0,'Timesheet-Regular'!H57,IF('Timesheet-Regular'!I57&gt;0,'Timesheet-Regular'!I57,0))))</f>
        <v/>
      </c>
      <c r="L49" s="238" t="str">
        <f>IF('Timesheet-Regular'!$D$6="No","",'Timesheet-Regular'!G57)</f>
        <v/>
      </c>
    </row>
    <row r="50" spans="1:12" x14ac:dyDescent="0.35">
      <c r="A50" s="102" t="s">
        <v>136</v>
      </c>
      <c r="B50" s="93" t="s">
        <v>200</v>
      </c>
      <c r="F50" s="112"/>
      <c r="K50" s="239"/>
      <c r="L50" s="238"/>
    </row>
    <row r="51" spans="1:12" x14ac:dyDescent="0.35">
      <c r="A51" s="102" t="s">
        <v>176</v>
      </c>
      <c r="B51" s="93" t="s">
        <v>197</v>
      </c>
      <c r="F51" s="112"/>
      <c r="K51" s="239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"",
IF('Timesheet-Regular'!F59&gt;0,'Timesheet-Regular'!F59,IF('Timesheet-Regular'!H59&gt;0,'Timesheet-Regular'!H59,IF('Timesheet-Regular'!I59&gt;0,'Timesheet-Regular'!I59,0))))</f>
        <v>0</v>
      </c>
      <c r="L51" s="238" t="str">
        <f>IF('Timesheet-Regular'!$D$6="No","",'Timesheet-Regular'!G59)</f>
        <v/>
      </c>
    </row>
    <row r="52" spans="1:12" x14ac:dyDescent="0.35">
      <c r="A52" s="102" t="s">
        <v>36</v>
      </c>
      <c r="B52" s="93" t="s">
        <v>205</v>
      </c>
      <c r="F52" s="112"/>
      <c r="K52" s="239"/>
      <c r="L52" s="238"/>
    </row>
    <row r="53" spans="1:12" x14ac:dyDescent="0.35">
      <c r="A53" s="102" t="s">
        <v>174</v>
      </c>
      <c r="B53" s="93" t="s">
        <v>21</v>
      </c>
      <c r="F53" s="112"/>
      <c r="K53" s="239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"",
IF('Timesheet-Regular'!F61&gt;0,'Timesheet-Regular'!F61,IF('Timesheet-Regular'!H61&gt;0,'Timesheet-Regular'!H61,IF('Timesheet-Regular'!I61&gt;0,'Timesheet-Regular'!I61,0))))</f>
        <v>0</v>
      </c>
      <c r="L53" s="238" t="str">
        <f>IF('Timesheet-Regular'!$D$6="No","",'Timesheet-Regular'!G61)</f>
        <v/>
      </c>
    </row>
    <row r="54" spans="1:12" x14ac:dyDescent="0.35">
      <c r="A54" s="102" t="s">
        <v>82</v>
      </c>
      <c r="B54" s="93" t="s">
        <v>217</v>
      </c>
      <c r="F54" s="112"/>
      <c r="K54" s="239"/>
      <c r="L54" s="238"/>
    </row>
    <row r="55" spans="1:12" x14ac:dyDescent="0.35">
      <c r="A55" s="102" t="s">
        <v>83</v>
      </c>
      <c r="B55" s="93" t="s">
        <v>203</v>
      </c>
      <c r="F55" s="112"/>
      <c r="K55" s="239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"",
IF('Timesheet-Regular'!F63&gt;0,'Timesheet-Regular'!F63,IF('Timesheet-Regular'!H63&gt;0,'Timesheet-Regular'!H63,IF('Timesheet-Regular'!I63&gt;0,'Timesheet-Regular'!I63,0))))</f>
        <v>0</v>
      </c>
      <c r="L55" s="238" t="str">
        <f>IF('Timesheet-Regular'!$D$6="No","",'Timesheet-Regular'!G63)</f>
        <v/>
      </c>
    </row>
    <row r="56" spans="1:12" x14ac:dyDescent="0.35">
      <c r="A56" s="102" t="s">
        <v>38</v>
      </c>
      <c r="B56" s="93" t="s">
        <v>198</v>
      </c>
      <c r="F56" s="112"/>
      <c r="K56" s="239"/>
      <c r="L56" s="238"/>
    </row>
    <row r="57" spans="1:12" x14ac:dyDescent="0.35">
      <c r="A57" s="102"/>
      <c r="B57" s="93" t="s">
        <v>202</v>
      </c>
      <c r="F57" s="112"/>
      <c r="K57" s="239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"",
IF('Timesheet-Regular'!F65&gt;0,'Timesheet-Regular'!F65,IF('Timesheet-Regular'!H65&gt;0,'Timesheet-Regular'!H65,IF('Timesheet-Regular'!I65&gt;0,'Timesheet-Regular'!I65,0))))</f>
        <v>0</v>
      </c>
      <c r="L57" s="238" t="str">
        <f>IF('Timesheet-Regular'!$D$6="No","",'Timesheet-Regular'!G65)</f>
        <v/>
      </c>
    </row>
    <row r="58" spans="1:12" x14ac:dyDescent="0.35">
      <c r="A58" s="102" t="s">
        <v>84</v>
      </c>
      <c r="B58" s="93" t="s">
        <v>190</v>
      </c>
      <c r="F58" s="112"/>
      <c r="K58" s="239"/>
      <c r="L58" s="238"/>
    </row>
    <row r="59" spans="1:12" x14ac:dyDescent="0.35">
      <c r="A59" s="102" t="s">
        <v>29</v>
      </c>
      <c r="B59" s="93" t="s">
        <v>145</v>
      </c>
      <c r="F59" s="112"/>
      <c r="K59" s="239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"",
IF('Timesheet-Regular'!F67&gt;0,'Timesheet-Regular'!F67,IF('Timesheet-Regular'!H67&gt;0,'Timesheet-Regular'!H67,IF('Timesheet-Regular'!I67&gt;0,'Timesheet-Regular'!I67,0))))</f>
        <v>0</v>
      </c>
      <c r="L59" s="238"/>
    </row>
    <row r="60" spans="1:12" x14ac:dyDescent="0.35">
      <c r="A60" s="102" t="s">
        <v>27</v>
      </c>
      <c r="B60" s="93" t="s">
        <v>193</v>
      </c>
      <c r="F60" s="112"/>
      <c r="K60" s="239"/>
      <c r="L60" s="104"/>
    </row>
    <row r="61" spans="1:12" x14ac:dyDescent="0.35">
      <c r="A61" s="102" t="s">
        <v>39</v>
      </c>
      <c r="B61" s="93" t="s">
        <v>204</v>
      </c>
      <c r="F61" s="112"/>
      <c r="K61" s="239" t="str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"",
IF('Timesheet-Regular'!F69&gt;0,'Timesheet-Regular'!F69,IF('Timesheet-Regular'!H69&gt;0,'Timesheet-Regular'!H69,IF('Timesheet-Regular'!I69&gt;0,'Timesheet-Regular'!I69,0))))</f>
        <v/>
      </c>
      <c r="L61" s="238" t="str">
        <f>IF('Timesheet-Regular'!$D$6="No","",'Timesheet-Regular'!G67)</f>
        <v/>
      </c>
    </row>
    <row r="62" spans="1:12" x14ac:dyDescent="0.35">
      <c r="A62" s="102" t="s">
        <v>145</v>
      </c>
      <c r="B62" s="93" t="s">
        <v>40</v>
      </c>
      <c r="F62" s="112"/>
      <c r="K62" s="239"/>
      <c r="L62" s="238"/>
    </row>
    <row r="63" spans="1:12" x14ac:dyDescent="0.35">
      <c r="A63" s="102"/>
      <c r="B63" s="93" t="s">
        <v>216</v>
      </c>
      <c r="F63" s="112"/>
      <c r="K63" s="239" t="str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"",
IF('Timesheet-Regular'!F71&gt;0,'Timesheet-Regular'!F71,IF('Timesheet-Regular'!H71&gt;0,'Timesheet-Regular'!H71,IF('Timesheet-Regular'!I71&gt;0,'Timesheet-Regular'!I71,0))))</f>
        <v/>
      </c>
      <c r="L63" s="238"/>
    </row>
    <row r="64" spans="1:12" x14ac:dyDescent="0.35">
      <c r="A64" s="102" t="s">
        <v>22</v>
      </c>
      <c r="B64" s="93" t="s">
        <v>208</v>
      </c>
      <c r="F64" s="112"/>
      <c r="K64" s="239"/>
      <c r="L64" s="238"/>
    </row>
    <row r="65" spans="1:12" x14ac:dyDescent="0.35">
      <c r="A65" s="102" t="s">
        <v>31</v>
      </c>
      <c r="B65" s="93" t="s">
        <v>218</v>
      </c>
      <c r="F65" s="112"/>
      <c r="K65" s="239" t="str">
        <f>IF(OR('Timesheet-Regular'!C73=List!$I$4,'Timesheet-Regular'!C73=List!$I$5,'Timesheet-Regular'!C73=List!$I$11,'Timesheet-Regular'!C73=List!$I$6,'Timesheet-Regular'!C73=List!$I$12,'Timesheet-Regular'!C73=List!$I$7,'Timesheet-Regular'!C73=List!$I$13,'Timesheet-Regular'!C73=List!$I$8,'Timesheet-Regular'!C73=List!$I$14,'Timesheet-Regular'!C73=List!$I$9,'Timesheet-Regular'!C73=List!$I$15,'Timesheet-Regular'!C73=List!$I$10,'Timesheet-Regular'!C73=List!$I$16,'Timesheet-Regular'!C73=List!$I$17,'Timesheet-Regular'!C73=List!$I$18,'Timesheet-Regular'!B73="Saturday",'Timesheet-Regular'!B73="Sunday"),"",
IF('Timesheet-Regular'!F73&gt;0,'Timesheet-Regular'!F73,IF('Timesheet-Regular'!H73&gt;0,'Timesheet-Regular'!H73,IF('Timesheet-Regular'!I73&gt;0,'Timesheet-Regular'!I73,0))))</f>
        <v/>
      </c>
      <c r="L65" s="238"/>
    </row>
    <row r="66" spans="1:12" x14ac:dyDescent="0.35">
      <c r="A66" s="102" t="s">
        <v>190</v>
      </c>
      <c r="B66" s="93" t="s">
        <v>199</v>
      </c>
      <c r="F66" s="112"/>
      <c r="K66" s="239"/>
      <c r="L66" s="104"/>
    </row>
    <row r="67" spans="1:12" x14ac:dyDescent="0.35">
      <c r="A67" s="102"/>
      <c r="B67" s="93" t="s">
        <v>215</v>
      </c>
      <c r="F67" s="112"/>
      <c r="K67" s="239" t="str">
        <f>IF(OR('Timesheet-Regular'!C75=List!$I$4,'Timesheet-Regular'!C75=List!$I$5,'Timesheet-Regular'!C75=List!$I$11,'Timesheet-Regular'!C75=List!$I$6,'Timesheet-Regular'!C75=List!$I$12,'Timesheet-Regular'!C75=List!$I$7,'Timesheet-Regular'!C75=List!$I$13,'Timesheet-Regular'!C75=List!$I$8,'Timesheet-Regular'!C75=List!$I$14,'Timesheet-Regular'!C75=List!$I$9,'Timesheet-Regular'!C75=List!$I$15,'Timesheet-Regular'!C75=List!$I$10,'Timesheet-Regular'!C75=List!$I$16,'Timesheet-Regular'!C75=List!$I$17,'Timesheet-Regular'!C75=List!$I$18,'Timesheet-Regular'!B75="Saturday",'Timesheet-Regular'!B75="Sunday"),"",
IF('Timesheet-Regular'!F75&gt;0,'Timesheet-Regular'!F75,IF('Timesheet-Regular'!H75&gt;0,'Timesheet-Regular'!H75,IF('Timesheet-Regular'!I75&gt;0,'Timesheet-Regular'!I75,0))))</f>
        <v/>
      </c>
      <c r="L67" s="238" t="str">
        <f>IF('Timesheet-Regular'!$D$6="No","",'Timesheet-Regular'!G69)</f>
        <v/>
      </c>
    </row>
    <row r="68" spans="1:12" x14ac:dyDescent="0.35">
      <c r="A68" s="102" t="s">
        <v>41</v>
      </c>
      <c r="B68" s="93" t="s">
        <v>22</v>
      </c>
      <c r="F68" s="112"/>
      <c r="K68" s="239"/>
      <c r="L68" s="238"/>
    </row>
    <row r="69" spans="1:12" x14ac:dyDescent="0.35">
      <c r="A69" s="103" t="s">
        <v>178</v>
      </c>
      <c r="B69" s="93" t="s">
        <v>177</v>
      </c>
      <c r="F69" s="112"/>
      <c r="K69" s="239"/>
      <c r="L69" s="238"/>
    </row>
    <row r="70" spans="1:12" x14ac:dyDescent="0.35">
      <c r="A70" s="99" t="s">
        <v>33</v>
      </c>
      <c r="B70" s="93" t="s">
        <v>31</v>
      </c>
      <c r="F70" s="112"/>
      <c r="K70" s="239"/>
      <c r="L70" s="97"/>
    </row>
    <row r="71" spans="1:12" x14ac:dyDescent="0.35">
      <c r="A71" s="100" t="s">
        <v>17</v>
      </c>
      <c r="B71" s="93" t="s">
        <v>41</v>
      </c>
      <c r="F71" s="112"/>
      <c r="K71" s="239"/>
    </row>
    <row r="72" spans="1:12" x14ac:dyDescent="0.35">
      <c r="A72" s="101" t="s">
        <v>24</v>
      </c>
      <c r="B72" s="93" t="s">
        <v>23</v>
      </c>
      <c r="F72" s="112"/>
      <c r="K72" s="239"/>
    </row>
    <row r="73" spans="1:12" x14ac:dyDescent="0.35">
      <c r="A73" s="101" t="s">
        <v>80</v>
      </c>
      <c r="B73" s="93" t="s">
        <v>144</v>
      </c>
      <c r="F73" s="112"/>
      <c r="K73" s="239"/>
    </row>
    <row r="74" spans="1:12" x14ac:dyDescent="0.35">
      <c r="A74" s="101" t="s">
        <v>18</v>
      </c>
      <c r="B74" s="93" t="s">
        <v>192</v>
      </c>
      <c r="F74" s="112"/>
      <c r="K74" s="239"/>
    </row>
    <row r="75" spans="1:12" x14ac:dyDescent="0.35">
      <c r="A75" s="100" t="s">
        <v>203</v>
      </c>
      <c r="B75" s="93" t="s">
        <v>195</v>
      </c>
      <c r="F75" s="112"/>
      <c r="K75" s="239"/>
    </row>
    <row r="76" spans="1:12" x14ac:dyDescent="0.35">
      <c r="A76" s="99" t="s">
        <v>19</v>
      </c>
      <c r="B76" s="93" t="s">
        <v>196</v>
      </c>
      <c r="F76" s="112"/>
      <c r="K76" s="239"/>
    </row>
    <row r="77" spans="1:12" x14ac:dyDescent="0.35">
      <c r="A77" s="101" t="s">
        <v>202</v>
      </c>
      <c r="B77" s="93" t="s">
        <v>209</v>
      </c>
      <c r="F77" s="112"/>
      <c r="K77" s="239"/>
    </row>
    <row r="78" spans="1:12" x14ac:dyDescent="0.35">
      <c r="A78" s="101" t="s">
        <v>188</v>
      </c>
      <c r="B78" s="93" t="s">
        <v>211</v>
      </c>
      <c r="F78" s="112"/>
      <c r="K78" s="239"/>
    </row>
    <row r="79" spans="1:12" x14ac:dyDescent="0.35">
      <c r="A79" s="101" t="s">
        <v>25</v>
      </c>
      <c r="B79" s="93" t="s">
        <v>42</v>
      </c>
      <c r="F79" s="112"/>
      <c r="K79" s="239"/>
    </row>
    <row r="80" spans="1:12" x14ac:dyDescent="0.35">
      <c r="A80" s="99" t="s">
        <v>20</v>
      </c>
      <c r="B80" s="93"/>
      <c r="F80" s="112"/>
      <c r="K80" s="239"/>
    </row>
    <row r="81" spans="1:11" x14ac:dyDescent="0.35">
      <c r="A81" s="101" t="s">
        <v>85</v>
      </c>
      <c r="F81" s="112"/>
      <c r="K81" s="239"/>
    </row>
    <row r="82" spans="1:11" x14ac:dyDescent="0.35">
      <c r="A82" s="101" t="s">
        <v>201</v>
      </c>
      <c r="F82" s="112"/>
      <c r="K82" s="239"/>
    </row>
    <row r="83" spans="1:11" x14ac:dyDescent="0.35">
      <c r="A83" s="101" t="s">
        <v>209</v>
      </c>
      <c r="F83" s="112"/>
      <c r="K83" s="239"/>
    </row>
    <row r="84" spans="1:11" x14ac:dyDescent="0.35">
      <c r="A84" s="101" t="s">
        <v>219</v>
      </c>
      <c r="F84" s="112"/>
      <c r="K84" s="239"/>
    </row>
    <row r="85" spans="1:11" x14ac:dyDescent="0.35">
      <c r="A85" s="100" t="s">
        <v>27</v>
      </c>
      <c r="F85" s="112"/>
      <c r="K85" s="239"/>
    </row>
    <row r="86" spans="1:11" x14ac:dyDescent="0.35">
      <c r="A86" s="100" t="s">
        <v>204</v>
      </c>
      <c r="F86" s="112"/>
      <c r="K86" s="239"/>
    </row>
    <row r="87" spans="1:11" x14ac:dyDescent="0.35">
      <c r="A87" s="101" t="s">
        <v>224</v>
      </c>
      <c r="F87" s="112"/>
      <c r="K87" s="239"/>
    </row>
    <row r="88" spans="1:11" x14ac:dyDescent="0.35">
      <c r="A88" s="101" t="s">
        <v>79</v>
      </c>
      <c r="F88" s="112"/>
      <c r="K88" s="239"/>
    </row>
    <row r="89" spans="1:11" x14ac:dyDescent="0.35">
      <c r="A89" s="101" t="s">
        <v>26</v>
      </c>
      <c r="F89" s="112"/>
      <c r="K89" s="239"/>
    </row>
    <row r="90" spans="1:11" x14ac:dyDescent="0.35">
      <c r="A90" s="101"/>
      <c r="F90" s="112"/>
      <c r="K90" s="239"/>
    </row>
    <row r="91" spans="1:11" x14ac:dyDescent="0.35">
      <c r="A91" s="101" t="s">
        <v>215</v>
      </c>
      <c r="F91" s="112"/>
      <c r="K91" s="239"/>
    </row>
    <row r="92" spans="1:11" x14ac:dyDescent="0.35">
      <c r="A92" s="101" t="s">
        <v>211</v>
      </c>
      <c r="F92" s="112"/>
      <c r="K92" s="239"/>
    </row>
    <row r="93" spans="1:11" x14ac:dyDescent="0.35">
      <c r="A93" s="101" t="s">
        <v>30</v>
      </c>
      <c r="F93" s="112"/>
      <c r="K93" s="239"/>
    </row>
    <row r="94" spans="1:11" x14ac:dyDescent="0.35">
      <c r="A94" s="101" t="s">
        <v>192</v>
      </c>
      <c r="F94" s="112"/>
      <c r="K94" s="239"/>
    </row>
    <row r="95" spans="1:11" x14ac:dyDescent="0.35">
      <c r="A95" s="101"/>
      <c r="F95" s="112"/>
      <c r="K95" s="239"/>
    </row>
    <row r="96" spans="1:11" x14ac:dyDescent="0.35">
      <c r="A96" s="101" t="s">
        <v>218</v>
      </c>
      <c r="F96" s="112"/>
      <c r="K96" s="239"/>
    </row>
    <row r="97" spans="1:11" x14ac:dyDescent="0.35">
      <c r="A97" s="101" t="s">
        <v>196</v>
      </c>
      <c r="F97" s="112"/>
      <c r="K97" s="239"/>
    </row>
    <row r="98" spans="1:11" x14ac:dyDescent="0.35">
      <c r="A98" s="101" t="s">
        <v>212</v>
      </c>
      <c r="F98" s="112"/>
      <c r="K98" s="239"/>
    </row>
    <row r="99" spans="1:11" x14ac:dyDescent="0.35">
      <c r="A99" s="100" t="s">
        <v>21</v>
      </c>
      <c r="F99" s="112"/>
      <c r="K99" s="239"/>
    </row>
    <row r="100" spans="1:11" x14ac:dyDescent="0.35">
      <c r="A100" s="100" t="s">
        <v>40</v>
      </c>
      <c r="F100" s="112"/>
      <c r="K100" s="239"/>
    </row>
    <row r="101" spans="1:11" x14ac:dyDescent="0.35">
      <c r="A101" s="101" t="s">
        <v>144</v>
      </c>
      <c r="F101" s="112"/>
      <c r="K101" s="239"/>
    </row>
    <row r="102" spans="1:11" x14ac:dyDescent="0.35">
      <c r="A102" s="101" t="s">
        <v>23</v>
      </c>
      <c r="F102" s="112"/>
      <c r="K102" s="239"/>
    </row>
    <row r="103" spans="1:11" x14ac:dyDescent="0.35">
      <c r="A103" s="101" t="s">
        <v>217</v>
      </c>
      <c r="F103" s="112"/>
      <c r="K103" s="239"/>
    </row>
    <row r="104" spans="1:11" x14ac:dyDescent="0.35">
      <c r="A104" s="101"/>
      <c r="F104" s="112"/>
      <c r="K104" s="239"/>
    </row>
    <row r="105" spans="1:11" x14ac:dyDescent="0.35">
      <c r="F105" s="112"/>
      <c r="K105" s="239"/>
    </row>
    <row r="106" spans="1:11" x14ac:dyDescent="0.35">
      <c r="F106" s="112"/>
      <c r="K106" s="239"/>
    </row>
    <row r="107" spans="1:11" x14ac:dyDescent="0.35">
      <c r="F107" s="112"/>
      <c r="K107" s="239"/>
    </row>
    <row r="108" spans="1:11" x14ac:dyDescent="0.35">
      <c r="F108" s="112"/>
      <c r="K108" s="239"/>
    </row>
    <row r="109" spans="1:11" x14ac:dyDescent="0.35">
      <c r="F109" s="112"/>
    </row>
    <row r="110" spans="1:11" x14ac:dyDescent="0.35">
      <c r="F110" s="112"/>
    </row>
    <row r="111" spans="1:11" x14ac:dyDescent="0.35">
      <c r="F111" s="112"/>
    </row>
    <row r="112" spans="1:11" x14ac:dyDescent="0.35">
      <c r="F112" s="112"/>
    </row>
    <row r="113" spans="6:6" x14ac:dyDescent="0.35">
      <c r="F113" s="112"/>
    </row>
    <row r="114" spans="6:6" x14ac:dyDescent="0.35">
      <c r="F114" s="112"/>
    </row>
    <row r="115" spans="6:6" x14ac:dyDescent="0.35">
      <c r="F115" s="112"/>
    </row>
    <row r="116" spans="6:6" x14ac:dyDescent="0.35">
      <c r="F116" s="112"/>
    </row>
    <row r="117" spans="6:6" x14ac:dyDescent="0.35">
      <c r="F117" s="112"/>
    </row>
    <row r="118" spans="6:6" x14ac:dyDescent="0.35">
      <c r="F118" s="112"/>
    </row>
    <row r="119" spans="6:6" x14ac:dyDescent="0.35">
      <c r="F119" s="112"/>
    </row>
    <row r="120" spans="6:6" x14ac:dyDescent="0.35">
      <c r="F120" s="112"/>
    </row>
    <row r="121" spans="6:6" x14ac:dyDescent="0.35">
      <c r="F121" s="112"/>
    </row>
    <row r="122" spans="6:6" x14ac:dyDescent="0.35">
      <c r="F122" s="112"/>
    </row>
    <row r="123" spans="6:6" x14ac:dyDescent="0.35">
      <c r="F123" s="112"/>
    </row>
    <row r="124" spans="6:6" x14ac:dyDescent="0.35">
      <c r="F124" s="112"/>
    </row>
    <row r="125" spans="6:6" x14ac:dyDescent="0.35">
      <c r="F125" s="112"/>
    </row>
    <row r="126" spans="6:6" x14ac:dyDescent="0.35">
      <c r="F126" s="112"/>
    </row>
    <row r="127" spans="6:6" x14ac:dyDescent="0.35">
      <c r="F127" s="112"/>
    </row>
    <row r="128" spans="6:6" x14ac:dyDescent="0.35">
      <c r="F128" s="112"/>
    </row>
    <row r="129" spans="6:6" x14ac:dyDescent="0.35">
      <c r="F129" s="112"/>
    </row>
    <row r="130" spans="6:6" x14ac:dyDescent="0.35">
      <c r="F130" s="112"/>
    </row>
    <row r="131" spans="6:6" x14ac:dyDescent="0.35">
      <c r="F131" s="112"/>
    </row>
    <row r="132" spans="6:6" x14ac:dyDescent="0.35">
      <c r="F132" s="112"/>
    </row>
    <row r="133" spans="6:6" x14ac:dyDescent="0.35">
      <c r="F133" s="112"/>
    </row>
    <row r="134" spans="6:6" x14ac:dyDescent="0.35">
      <c r="F134" s="112"/>
    </row>
    <row r="135" spans="6:6" x14ac:dyDescent="0.35">
      <c r="F135" s="112"/>
    </row>
    <row r="136" spans="6:6" x14ac:dyDescent="0.35">
      <c r="F136" s="112"/>
    </row>
    <row r="137" spans="6:6" x14ac:dyDescent="0.35">
      <c r="F137" s="112"/>
    </row>
    <row r="138" spans="6:6" x14ac:dyDescent="0.35">
      <c r="F138" s="112"/>
    </row>
    <row r="139" spans="6:6" x14ac:dyDescent="0.35">
      <c r="F139" s="112"/>
    </row>
    <row r="140" spans="6:6" x14ac:dyDescent="0.35">
      <c r="F140" s="112"/>
    </row>
    <row r="141" spans="6:6" x14ac:dyDescent="0.35">
      <c r="F141" s="112"/>
    </row>
    <row r="142" spans="6:6" x14ac:dyDescent="0.35">
      <c r="F142" s="112"/>
    </row>
    <row r="143" spans="6:6" x14ac:dyDescent="0.35">
      <c r="F143" s="112"/>
    </row>
    <row r="144" spans="6:6" x14ac:dyDescent="0.35">
      <c r="F144" s="112"/>
    </row>
    <row r="145" spans="6:6" x14ac:dyDescent="0.35">
      <c r="F145" s="112"/>
    </row>
    <row r="146" spans="6:6" x14ac:dyDescent="0.35">
      <c r="F146" s="112"/>
    </row>
    <row r="147" spans="6:6" x14ac:dyDescent="0.35">
      <c r="F147" s="112"/>
    </row>
    <row r="148" spans="6:6" x14ac:dyDescent="0.35">
      <c r="F148" s="112"/>
    </row>
    <row r="149" spans="6:6" x14ac:dyDescent="0.35">
      <c r="F149" s="112"/>
    </row>
    <row r="150" spans="6:6" x14ac:dyDescent="0.35">
      <c r="F150" s="112"/>
    </row>
    <row r="151" spans="6:6" x14ac:dyDescent="0.35">
      <c r="F151" s="112"/>
    </row>
    <row r="152" spans="6:6" x14ac:dyDescent="0.35">
      <c r="F152" s="112"/>
    </row>
    <row r="153" spans="6:6" x14ac:dyDescent="0.35">
      <c r="F153" s="112"/>
    </row>
    <row r="154" spans="6:6" x14ac:dyDescent="0.35">
      <c r="F154" s="112"/>
    </row>
    <row r="155" spans="6:6" x14ac:dyDescent="0.35">
      <c r="F155" s="112"/>
    </row>
    <row r="156" spans="6:6" x14ac:dyDescent="0.35">
      <c r="F156" s="112"/>
    </row>
    <row r="157" spans="6:6" x14ac:dyDescent="0.35">
      <c r="F157" s="112"/>
    </row>
    <row r="158" spans="6:6" x14ac:dyDescent="0.35">
      <c r="F158" s="112"/>
    </row>
    <row r="159" spans="6:6" x14ac:dyDescent="0.35">
      <c r="F159" s="112"/>
    </row>
    <row r="160" spans="6:6" x14ac:dyDescent="0.35">
      <c r="F160" s="112"/>
    </row>
    <row r="161" spans="6:6" x14ac:dyDescent="0.35">
      <c r="F161" s="112"/>
    </row>
    <row r="162" spans="6:6" x14ac:dyDescent="0.35">
      <c r="F162" s="112"/>
    </row>
    <row r="163" spans="6:6" x14ac:dyDescent="0.35">
      <c r="F163" s="112"/>
    </row>
    <row r="164" spans="6:6" x14ac:dyDescent="0.35">
      <c r="F164" s="112"/>
    </row>
    <row r="165" spans="6:6" x14ac:dyDescent="0.35">
      <c r="F165" s="112"/>
    </row>
    <row r="166" spans="6:6" x14ac:dyDescent="0.35">
      <c r="F166" s="112"/>
    </row>
    <row r="167" spans="6:6" x14ac:dyDescent="0.35">
      <c r="F167" s="112"/>
    </row>
    <row r="168" spans="6:6" x14ac:dyDescent="0.35">
      <c r="F168" s="112"/>
    </row>
    <row r="169" spans="6:6" x14ac:dyDescent="0.35">
      <c r="F169" s="112"/>
    </row>
    <row r="170" spans="6:6" x14ac:dyDescent="0.35">
      <c r="F170" s="112"/>
    </row>
    <row r="171" spans="6:6" x14ac:dyDescent="0.35">
      <c r="F171" s="112"/>
    </row>
    <row r="172" spans="6:6" x14ac:dyDescent="0.35">
      <c r="F172" s="112"/>
    </row>
    <row r="173" spans="6:6" x14ac:dyDescent="0.35">
      <c r="F173" s="112"/>
    </row>
    <row r="174" spans="6:6" x14ac:dyDescent="0.35">
      <c r="F174" s="112"/>
    </row>
    <row r="175" spans="6:6" x14ac:dyDescent="0.35">
      <c r="F175" s="112"/>
    </row>
    <row r="176" spans="6:6" x14ac:dyDescent="0.35">
      <c r="F176" s="112"/>
    </row>
    <row r="177" spans="6:6" x14ac:dyDescent="0.35">
      <c r="F177" s="112"/>
    </row>
    <row r="178" spans="6:6" x14ac:dyDescent="0.35">
      <c r="F178" s="112"/>
    </row>
    <row r="179" spans="6:6" x14ac:dyDescent="0.35">
      <c r="F179" s="112"/>
    </row>
    <row r="180" spans="6:6" x14ac:dyDescent="0.35">
      <c r="F180" s="112"/>
    </row>
    <row r="181" spans="6:6" x14ac:dyDescent="0.35">
      <c r="F181" s="112"/>
    </row>
    <row r="182" spans="6:6" x14ac:dyDescent="0.35">
      <c r="F182" s="112"/>
    </row>
    <row r="183" spans="6:6" x14ac:dyDescent="0.35">
      <c r="F183" s="112"/>
    </row>
    <row r="184" spans="6:6" x14ac:dyDescent="0.35">
      <c r="F184" s="112"/>
    </row>
    <row r="185" spans="6:6" x14ac:dyDescent="0.35">
      <c r="F185" s="112"/>
    </row>
    <row r="186" spans="6:6" x14ac:dyDescent="0.35">
      <c r="F186" s="112"/>
    </row>
    <row r="187" spans="6:6" x14ac:dyDescent="0.35">
      <c r="F187" s="112"/>
    </row>
    <row r="188" spans="6:6" x14ac:dyDescent="0.35">
      <c r="F188" s="112"/>
    </row>
    <row r="189" spans="6:6" x14ac:dyDescent="0.35">
      <c r="F189" s="112"/>
    </row>
    <row r="190" spans="6:6" x14ac:dyDescent="0.35">
      <c r="F190" s="112"/>
    </row>
    <row r="191" spans="6:6" x14ac:dyDescent="0.35">
      <c r="F191" s="112"/>
    </row>
    <row r="192" spans="6:6" x14ac:dyDescent="0.35">
      <c r="F192" s="112"/>
    </row>
    <row r="193" spans="6:6" x14ac:dyDescent="0.35">
      <c r="F193" s="112"/>
    </row>
    <row r="194" spans="6:6" x14ac:dyDescent="0.35">
      <c r="F194" s="112"/>
    </row>
    <row r="195" spans="6:6" x14ac:dyDescent="0.35">
      <c r="F195" s="112"/>
    </row>
    <row r="196" spans="6:6" x14ac:dyDescent="0.35">
      <c r="F196" s="112"/>
    </row>
    <row r="197" spans="6:6" x14ac:dyDescent="0.35">
      <c r="F197" s="112"/>
    </row>
    <row r="198" spans="6:6" x14ac:dyDescent="0.35">
      <c r="F198" s="112"/>
    </row>
    <row r="199" spans="6:6" x14ac:dyDescent="0.35">
      <c r="F199" s="112"/>
    </row>
    <row r="200" spans="6:6" x14ac:dyDescent="0.35">
      <c r="F200" s="112"/>
    </row>
    <row r="201" spans="6:6" x14ac:dyDescent="0.35">
      <c r="F201" s="112"/>
    </row>
    <row r="202" spans="6:6" x14ac:dyDescent="0.35">
      <c r="F202" s="112"/>
    </row>
    <row r="203" spans="6:6" x14ac:dyDescent="0.35">
      <c r="F203" s="112"/>
    </row>
    <row r="204" spans="6:6" x14ac:dyDescent="0.35">
      <c r="F204" s="112"/>
    </row>
    <row r="205" spans="6:6" x14ac:dyDescent="0.35">
      <c r="F205" s="112"/>
    </row>
    <row r="206" spans="6:6" x14ac:dyDescent="0.35">
      <c r="F206" s="112"/>
    </row>
    <row r="207" spans="6:6" x14ac:dyDescent="0.35">
      <c r="F207" s="112"/>
    </row>
    <row r="208" spans="6:6" x14ac:dyDescent="0.35">
      <c r="F208" s="112"/>
    </row>
    <row r="209" spans="6:6" x14ac:dyDescent="0.35">
      <c r="F209" s="112"/>
    </row>
    <row r="210" spans="6:6" x14ac:dyDescent="0.35">
      <c r="F210" s="112"/>
    </row>
    <row r="211" spans="6:6" x14ac:dyDescent="0.35">
      <c r="F211" s="112"/>
    </row>
    <row r="212" spans="6:6" x14ac:dyDescent="0.35">
      <c r="F212" s="112"/>
    </row>
    <row r="213" spans="6:6" x14ac:dyDescent="0.35">
      <c r="F213" s="112"/>
    </row>
    <row r="214" spans="6:6" x14ac:dyDescent="0.35">
      <c r="F214" s="112"/>
    </row>
    <row r="215" spans="6:6" x14ac:dyDescent="0.35">
      <c r="F215" s="112"/>
    </row>
    <row r="216" spans="6:6" x14ac:dyDescent="0.35">
      <c r="F216" s="112"/>
    </row>
    <row r="217" spans="6:6" x14ac:dyDescent="0.35">
      <c r="F217" s="112"/>
    </row>
    <row r="218" spans="6:6" x14ac:dyDescent="0.35">
      <c r="F218" s="112"/>
    </row>
    <row r="219" spans="6:6" x14ac:dyDescent="0.35">
      <c r="F219" s="112"/>
    </row>
    <row r="220" spans="6:6" x14ac:dyDescent="0.35">
      <c r="F220" s="112"/>
    </row>
    <row r="221" spans="6:6" x14ac:dyDescent="0.35">
      <c r="F221" s="112"/>
    </row>
    <row r="222" spans="6:6" x14ac:dyDescent="0.35">
      <c r="F222" s="112"/>
    </row>
    <row r="223" spans="6:6" x14ac:dyDescent="0.35">
      <c r="F223" s="112"/>
    </row>
    <row r="224" spans="6:6" x14ac:dyDescent="0.35">
      <c r="F224" s="112"/>
    </row>
    <row r="225" spans="6:6" x14ac:dyDescent="0.35">
      <c r="F225" s="112"/>
    </row>
    <row r="226" spans="6:6" x14ac:dyDescent="0.35">
      <c r="F226" s="112"/>
    </row>
    <row r="227" spans="6:6" x14ac:dyDescent="0.35">
      <c r="F227" s="112"/>
    </row>
    <row r="228" spans="6:6" x14ac:dyDescent="0.35">
      <c r="F228" s="112"/>
    </row>
    <row r="229" spans="6:6" x14ac:dyDescent="0.35">
      <c r="F229" s="112"/>
    </row>
    <row r="230" spans="6:6" x14ac:dyDescent="0.35">
      <c r="F230" s="112"/>
    </row>
    <row r="231" spans="6:6" x14ac:dyDescent="0.35">
      <c r="F231" s="112"/>
    </row>
    <row r="232" spans="6:6" x14ac:dyDescent="0.35">
      <c r="F232" s="112"/>
    </row>
    <row r="233" spans="6:6" x14ac:dyDescent="0.35">
      <c r="F233" s="112"/>
    </row>
    <row r="234" spans="6:6" x14ac:dyDescent="0.35">
      <c r="F234" s="112"/>
    </row>
    <row r="235" spans="6:6" x14ac:dyDescent="0.35">
      <c r="F235" s="112"/>
    </row>
    <row r="236" spans="6:6" x14ac:dyDescent="0.35">
      <c r="F236" s="112"/>
    </row>
    <row r="237" spans="6:6" x14ac:dyDescent="0.35">
      <c r="F237" s="112"/>
    </row>
    <row r="238" spans="6:6" x14ac:dyDescent="0.35">
      <c r="F238" s="112"/>
    </row>
    <row r="239" spans="6:6" x14ac:dyDescent="0.35">
      <c r="F239" s="112"/>
    </row>
    <row r="240" spans="6:6" x14ac:dyDescent="0.35">
      <c r="F240" s="112"/>
    </row>
    <row r="241" spans="6:6" x14ac:dyDescent="0.35">
      <c r="F241" s="112"/>
    </row>
    <row r="242" spans="6:6" x14ac:dyDescent="0.35">
      <c r="F242" s="112"/>
    </row>
    <row r="243" spans="6:6" x14ac:dyDescent="0.35">
      <c r="F243" s="112"/>
    </row>
    <row r="244" spans="6:6" x14ac:dyDescent="0.35">
      <c r="F244" s="112"/>
    </row>
    <row r="245" spans="6:6" x14ac:dyDescent="0.35">
      <c r="F245" s="112"/>
    </row>
    <row r="246" spans="6:6" x14ac:dyDescent="0.35">
      <c r="F246" s="112"/>
    </row>
    <row r="247" spans="6:6" x14ac:dyDescent="0.35">
      <c r="F247" s="112"/>
    </row>
    <row r="248" spans="6:6" x14ac:dyDescent="0.35">
      <c r="F248" s="112"/>
    </row>
    <row r="249" spans="6:6" x14ac:dyDescent="0.35">
      <c r="F249" s="112"/>
    </row>
    <row r="250" spans="6:6" x14ac:dyDescent="0.35">
      <c r="F250" s="112"/>
    </row>
    <row r="251" spans="6:6" x14ac:dyDescent="0.35">
      <c r="F251" s="112"/>
    </row>
    <row r="252" spans="6:6" x14ac:dyDescent="0.35">
      <c r="F252" s="112"/>
    </row>
    <row r="253" spans="6:6" x14ac:dyDescent="0.35">
      <c r="F253" s="112"/>
    </row>
    <row r="254" spans="6:6" x14ac:dyDescent="0.35">
      <c r="F254" s="112"/>
    </row>
    <row r="255" spans="6:6" x14ac:dyDescent="0.35">
      <c r="F255" s="112"/>
    </row>
    <row r="256" spans="6:6" x14ac:dyDescent="0.35">
      <c r="F256" s="112"/>
    </row>
    <row r="257" spans="6:6" x14ac:dyDescent="0.35">
      <c r="F257" s="112"/>
    </row>
    <row r="258" spans="6:6" x14ac:dyDescent="0.35">
      <c r="F258" s="112"/>
    </row>
    <row r="259" spans="6:6" x14ac:dyDescent="0.35">
      <c r="F259" s="112"/>
    </row>
    <row r="260" spans="6:6" x14ac:dyDescent="0.35">
      <c r="F260" s="112"/>
    </row>
    <row r="261" spans="6:6" x14ac:dyDescent="0.35">
      <c r="F261" s="112"/>
    </row>
    <row r="262" spans="6:6" x14ac:dyDescent="0.35">
      <c r="F262" s="112"/>
    </row>
    <row r="263" spans="6:6" x14ac:dyDescent="0.35">
      <c r="F263" s="112"/>
    </row>
    <row r="264" spans="6:6" x14ac:dyDescent="0.35">
      <c r="F264" s="112"/>
    </row>
    <row r="265" spans="6:6" x14ac:dyDescent="0.35">
      <c r="F265" s="112"/>
    </row>
    <row r="266" spans="6:6" x14ac:dyDescent="0.35">
      <c r="F266" s="112"/>
    </row>
    <row r="267" spans="6:6" x14ac:dyDescent="0.35">
      <c r="F267" s="112"/>
    </row>
    <row r="268" spans="6:6" x14ac:dyDescent="0.35">
      <c r="F268" s="112"/>
    </row>
    <row r="269" spans="6:6" x14ac:dyDescent="0.35">
      <c r="F269" s="112"/>
    </row>
    <row r="270" spans="6:6" x14ac:dyDescent="0.35">
      <c r="F270" s="112"/>
    </row>
    <row r="271" spans="6:6" x14ac:dyDescent="0.35">
      <c r="F271" s="112"/>
    </row>
    <row r="272" spans="6:6" x14ac:dyDescent="0.35">
      <c r="F272" s="112"/>
    </row>
    <row r="273" spans="6:6" x14ac:dyDescent="0.35">
      <c r="F273" s="112"/>
    </row>
    <row r="274" spans="6:6" x14ac:dyDescent="0.35">
      <c r="F274" s="112"/>
    </row>
    <row r="275" spans="6:6" x14ac:dyDescent="0.35">
      <c r="F275" s="112"/>
    </row>
    <row r="276" spans="6:6" x14ac:dyDescent="0.35">
      <c r="F276" s="112"/>
    </row>
    <row r="277" spans="6:6" x14ac:dyDescent="0.35">
      <c r="F277" s="112"/>
    </row>
    <row r="278" spans="6:6" x14ac:dyDescent="0.35">
      <c r="F278" s="112"/>
    </row>
    <row r="279" spans="6:6" x14ac:dyDescent="0.35">
      <c r="F279" s="112"/>
    </row>
    <row r="280" spans="6:6" x14ac:dyDescent="0.35">
      <c r="F280" s="112"/>
    </row>
    <row r="281" spans="6:6" x14ac:dyDescent="0.35">
      <c r="F281" s="112"/>
    </row>
    <row r="282" spans="6:6" x14ac:dyDescent="0.35">
      <c r="F282" s="112"/>
    </row>
    <row r="283" spans="6:6" x14ac:dyDescent="0.35">
      <c r="F283" s="112"/>
    </row>
    <row r="284" spans="6:6" x14ac:dyDescent="0.35">
      <c r="F284" s="112"/>
    </row>
    <row r="285" spans="6:6" x14ac:dyDescent="0.35">
      <c r="F285" s="112"/>
    </row>
    <row r="286" spans="6:6" x14ac:dyDescent="0.35">
      <c r="F286" s="112"/>
    </row>
    <row r="287" spans="6:6" x14ac:dyDescent="0.35">
      <c r="F287" s="112"/>
    </row>
    <row r="288" spans="6:6" x14ac:dyDescent="0.35">
      <c r="F288" s="112"/>
    </row>
    <row r="289" spans="6:6" x14ac:dyDescent="0.35">
      <c r="F289" s="112"/>
    </row>
    <row r="290" spans="6:6" x14ac:dyDescent="0.35">
      <c r="F290" s="112"/>
    </row>
    <row r="291" spans="6:6" x14ac:dyDescent="0.35">
      <c r="F291" s="112"/>
    </row>
    <row r="292" spans="6:6" x14ac:dyDescent="0.35">
      <c r="F292" s="112"/>
    </row>
    <row r="293" spans="6:6" x14ac:dyDescent="0.35">
      <c r="F293" s="112"/>
    </row>
    <row r="294" spans="6:6" x14ac:dyDescent="0.35">
      <c r="F294" s="112"/>
    </row>
    <row r="295" spans="6:6" x14ac:dyDescent="0.35">
      <c r="F295" s="112"/>
    </row>
    <row r="296" spans="6:6" x14ac:dyDescent="0.35">
      <c r="F296" s="112"/>
    </row>
    <row r="297" spans="6:6" x14ac:dyDescent="0.35">
      <c r="F297" s="112"/>
    </row>
    <row r="298" spans="6:6" x14ac:dyDescent="0.35">
      <c r="F298" s="112"/>
    </row>
    <row r="299" spans="6:6" x14ac:dyDescent="0.35">
      <c r="F299" s="112"/>
    </row>
    <row r="300" spans="6:6" x14ac:dyDescent="0.35">
      <c r="F300" s="112"/>
    </row>
    <row r="301" spans="6:6" x14ac:dyDescent="0.35">
      <c r="F301" s="112"/>
    </row>
    <row r="302" spans="6:6" x14ac:dyDescent="0.35">
      <c r="F302" s="112"/>
    </row>
    <row r="303" spans="6:6" x14ac:dyDescent="0.35">
      <c r="F303" s="112"/>
    </row>
    <row r="304" spans="6:6" x14ac:dyDescent="0.35">
      <c r="F304" s="112"/>
    </row>
    <row r="305" spans="6:6" x14ac:dyDescent="0.35">
      <c r="F305" s="112"/>
    </row>
    <row r="306" spans="6:6" x14ac:dyDescent="0.35">
      <c r="F306" s="112"/>
    </row>
    <row r="307" spans="6:6" x14ac:dyDescent="0.35">
      <c r="F307" s="112"/>
    </row>
    <row r="308" spans="6:6" x14ac:dyDescent="0.35">
      <c r="F308" s="112"/>
    </row>
    <row r="309" spans="6:6" x14ac:dyDescent="0.35">
      <c r="F309" s="112"/>
    </row>
    <row r="310" spans="6:6" x14ac:dyDescent="0.35">
      <c r="F310" s="112"/>
    </row>
    <row r="311" spans="6:6" x14ac:dyDescent="0.35">
      <c r="F311" s="112"/>
    </row>
    <row r="312" spans="6:6" x14ac:dyDescent="0.35">
      <c r="F312" s="112"/>
    </row>
    <row r="313" spans="6:6" x14ac:dyDescent="0.35">
      <c r="F313" s="112"/>
    </row>
    <row r="314" spans="6:6" x14ac:dyDescent="0.35">
      <c r="F314" s="112"/>
    </row>
    <row r="315" spans="6:6" x14ac:dyDescent="0.35">
      <c r="F315" s="112"/>
    </row>
    <row r="316" spans="6:6" x14ac:dyDescent="0.35">
      <c r="F316" s="112"/>
    </row>
    <row r="317" spans="6:6" x14ac:dyDescent="0.35">
      <c r="F317" s="112"/>
    </row>
    <row r="318" spans="6:6" x14ac:dyDescent="0.35">
      <c r="F318" s="112"/>
    </row>
    <row r="319" spans="6:6" x14ac:dyDescent="0.35">
      <c r="F319" s="112"/>
    </row>
    <row r="320" spans="6:6" x14ac:dyDescent="0.35">
      <c r="F320" s="112"/>
    </row>
    <row r="321" spans="6:6" x14ac:dyDescent="0.35">
      <c r="F321" s="112"/>
    </row>
    <row r="322" spans="6:6" x14ac:dyDescent="0.35">
      <c r="F322" s="112"/>
    </row>
    <row r="323" spans="6:6" x14ac:dyDescent="0.35">
      <c r="F323" s="112"/>
    </row>
    <row r="324" spans="6:6" x14ac:dyDescent="0.35">
      <c r="F324" s="112"/>
    </row>
    <row r="325" spans="6:6" x14ac:dyDescent="0.35">
      <c r="F325" s="112"/>
    </row>
    <row r="326" spans="6:6" x14ac:dyDescent="0.35">
      <c r="F326" s="112"/>
    </row>
    <row r="327" spans="6:6" x14ac:dyDescent="0.35">
      <c r="F327" s="112"/>
    </row>
    <row r="328" spans="6:6" x14ac:dyDescent="0.35">
      <c r="F328" s="112"/>
    </row>
    <row r="329" spans="6:6" x14ac:dyDescent="0.35">
      <c r="F329" s="112"/>
    </row>
    <row r="330" spans="6:6" x14ac:dyDescent="0.35">
      <c r="F330" s="112"/>
    </row>
    <row r="331" spans="6:6" x14ac:dyDescent="0.35">
      <c r="F331" s="112"/>
    </row>
    <row r="332" spans="6:6" x14ac:dyDescent="0.35">
      <c r="F332" s="112"/>
    </row>
    <row r="333" spans="6:6" x14ac:dyDescent="0.35">
      <c r="F333" s="112"/>
    </row>
    <row r="334" spans="6:6" x14ac:dyDescent="0.35">
      <c r="F334" s="112"/>
    </row>
    <row r="335" spans="6:6" x14ac:dyDescent="0.35">
      <c r="F335" s="112"/>
    </row>
    <row r="336" spans="6:6" x14ac:dyDescent="0.35">
      <c r="F336" s="112"/>
    </row>
    <row r="337" spans="6:6" x14ac:dyDescent="0.35">
      <c r="F337" s="112"/>
    </row>
    <row r="338" spans="6:6" x14ac:dyDescent="0.35">
      <c r="F338" s="112"/>
    </row>
    <row r="339" spans="6:6" x14ac:dyDescent="0.35">
      <c r="F339" s="112"/>
    </row>
    <row r="340" spans="6:6" x14ac:dyDescent="0.35">
      <c r="F340" s="112"/>
    </row>
    <row r="341" spans="6:6" x14ac:dyDescent="0.35">
      <c r="F341" s="112"/>
    </row>
    <row r="342" spans="6:6" x14ac:dyDescent="0.35">
      <c r="F342" s="112"/>
    </row>
    <row r="343" spans="6:6" x14ac:dyDescent="0.35">
      <c r="F343" s="112"/>
    </row>
    <row r="344" spans="6:6" x14ac:dyDescent="0.35">
      <c r="F344" s="112"/>
    </row>
    <row r="345" spans="6:6" x14ac:dyDescent="0.35">
      <c r="F345" s="112"/>
    </row>
    <row r="346" spans="6:6" x14ac:dyDescent="0.35">
      <c r="F346" s="112"/>
    </row>
    <row r="347" spans="6:6" x14ac:dyDescent="0.35">
      <c r="F347" s="112"/>
    </row>
    <row r="348" spans="6:6" x14ac:dyDescent="0.35">
      <c r="F348" s="112"/>
    </row>
    <row r="349" spans="6:6" x14ac:dyDescent="0.35">
      <c r="F349" s="112"/>
    </row>
    <row r="350" spans="6:6" x14ac:dyDescent="0.35">
      <c r="F350" s="112"/>
    </row>
    <row r="351" spans="6:6" x14ac:dyDescent="0.35">
      <c r="F351" s="112"/>
    </row>
    <row r="352" spans="6:6" x14ac:dyDescent="0.35">
      <c r="F352" s="112"/>
    </row>
    <row r="353" spans="6:6" x14ac:dyDescent="0.35">
      <c r="F353" s="112"/>
    </row>
    <row r="354" spans="6:6" x14ac:dyDescent="0.35">
      <c r="F354" s="112"/>
    </row>
    <row r="355" spans="6:6" x14ac:dyDescent="0.35">
      <c r="F355" s="112"/>
    </row>
    <row r="356" spans="6:6" x14ac:dyDescent="0.35">
      <c r="F356" s="112"/>
    </row>
    <row r="357" spans="6:6" x14ac:dyDescent="0.35">
      <c r="F357" s="112"/>
    </row>
    <row r="358" spans="6:6" x14ac:dyDescent="0.35">
      <c r="F358" s="112"/>
    </row>
    <row r="359" spans="6:6" x14ac:dyDescent="0.35">
      <c r="F359" s="112"/>
    </row>
    <row r="360" spans="6:6" x14ac:dyDescent="0.35">
      <c r="F360" s="112"/>
    </row>
    <row r="361" spans="6:6" x14ac:dyDescent="0.35">
      <c r="F361" s="112"/>
    </row>
    <row r="362" spans="6:6" x14ac:dyDescent="0.35">
      <c r="F362" s="112"/>
    </row>
    <row r="363" spans="6:6" x14ac:dyDescent="0.35">
      <c r="F363" s="112"/>
    </row>
    <row r="364" spans="6:6" x14ac:dyDescent="0.35">
      <c r="F364" s="112"/>
    </row>
    <row r="365" spans="6:6" x14ac:dyDescent="0.35">
      <c r="F365" s="112"/>
    </row>
    <row r="366" spans="6:6" x14ac:dyDescent="0.35">
      <c r="F366" s="112"/>
    </row>
    <row r="367" spans="6:6" x14ac:dyDescent="0.35">
      <c r="F367" s="112"/>
    </row>
    <row r="368" spans="6:6" x14ac:dyDescent="0.35">
      <c r="F368" s="112"/>
    </row>
    <row r="369" spans="6:6" x14ac:dyDescent="0.35">
      <c r="F369" s="112"/>
    </row>
    <row r="370" spans="6:6" x14ac:dyDescent="0.35">
      <c r="F370" s="112"/>
    </row>
    <row r="371" spans="6:6" x14ac:dyDescent="0.35">
      <c r="F371" s="112"/>
    </row>
    <row r="372" spans="6:6" x14ac:dyDescent="0.35">
      <c r="F372" s="112"/>
    </row>
    <row r="373" spans="6:6" x14ac:dyDescent="0.35">
      <c r="F373" s="112"/>
    </row>
    <row r="374" spans="6:6" x14ac:dyDescent="0.35">
      <c r="F374" s="112"/>
    </row>
    <row r="375" spans="6:6" x14ac:dyDescent="0.35">
      <c r="F375" s="112"/>
    </row>
    <row r="376" spans="6:6" x14ac:dyDescent="0.35">
      <c r="F376" s="112"/>
    </row>
    <row r="377" spans="6:6" x14ac:dyDescent="0.35">
      <c r="F377" s="112"/>
    </row>
    <row r="378" spans="6:6" x14ac:dyDescent="0.35">
      <c r="F378" s="112"/>
    </row>
    <row r="379" spans="6:6" x14ac:dyDescent="0.35">
      <c r="F379" s="112"/>
    </row>
    <row r="380" spans="6:6" x14ac:dyDescent="0.35">
      <c r="F380" s="112"/>
    </row>
    <row r="381" spans="6:6" x14ac:dyDescent="0.35">
      <c r="F381" s="112"/>
    </row>
    <row r="382" spans="6:6" x14ac:dyDescent="0.35">
      <c r="F382" s="112"/>
    </row>
    <row r="383" spans="6:6" x14ac:dyDescent="0.35">
      <c r="F383" s="112"/>
    </row>
    <row r="384" spans="6:6" x14ac:dyDescent="0.35">
      <c r="F384" s="112"/>
    </row>
    <row r="385" spans="6:6" x14ac:dyDescent="0.35">
      <c r="F385" s="112"/>
    </row>
    <row r="386" spans="6:6" x14ac:dyDescent="0.35">
      <c r="F386" s="112"/>
    </row>
    <row r="387" spans="6:6" x14ac:dyDescent="0.35">
      <c r="F387" s="112"/>
    </row>
    <row r="388" spans="6:6" x14ac:dyDescent="0.35">
      <c r="F388" s="112"/>
    </row>
    <row r="389" spans="6:6" x14ac:dyDescent="0.35">
      <c r="F389" s="112"/>
    </row>
    <row r="390" spans="6:6" x14ac:dyDescent="0.35">
      <c r="F390" s="112"/>
    </row>
    <row r="391" spans="6:6" x14ac:dyDescent="0.35">
      <c r="F391" s="112"/>
    </row>
    <row r="392" spans="6:6" x14ac:dyDescent="0.35">
      <c r="F392" s="112"/>
    </row>
    <row r="393" spans="6:6" x14ac:dyDescent="0.35">
      <c r="F393" s="112"/>
    </row>
    <row r="394" spans="6:6" x14ac:dyDescent="0.35">
      <c r="F394" s="112"/>
    </row>
    <row r="395" spans="6:6" x14ac:dyDescent="0.35">
      <c r="F395" s="112"/>
    </row>
    <row r="396" spans="6:6" x14ac:dyDescent="0.35">
      <c r="F396" s="112"/>
    </row>
    <row r="397" spans="6:6" x14ac:dyDescent="0.35">
      <c r="F397" s="112"/>
    </row>
    <row r="398" spans="6:6" x14ac:dyDescent="0.35">
      <c r="F398" s="112"/>
    </row>
    <row r="399" spans="6:6" x14ac:dyDescent="0.35">
      <c r="F399" s="112"/>
    </row>
    <row r="400" spans="6:6" x14ac:dyDescent="0.35">
      <c r="F400" s="112"/>
    </row>
    <row r="401" spans="6:6" x14ac:dyDescent="0.35">
      <c r="F401" s="112"/>
    </row>
    <row r="402" spans="6:6" x14ac:dyDescent="0.35">
      <c r="F402" s="112"/>
    </row>
    <row r="403" spans="6:6" x14ac:dyDescent="0.35">
      <c r="F403" s="112"/>
    </row>
    <row r="404" spans="6:6" x14ac:dyDescent="0.35">
      <c r="F404" s="112"/>
    </row>
    <row r="405" spans="6:6" x14ac:dyDescent="0.35">
      <c r="F405" s="112"/>
    </row>
    <row r="406" spans="6:6" x14ac:dyDescent="0.35">
      <c r="F406" s="112"/>
    </row>
    <row r="407" spans="6:6" x14ac:dyDescent="0.35">
      <c r="F407" s="112"/>
    </row>
    <row r="408" spans="6:6" x14ac:dyDescent="0.35">
      <c r="F408" s="112"/>
    </row>
    <row r="409" spans="6:6" x14ac:dyDescent="0.35">
      <c r="F409" s="112"/>
    </row>
    <row r="410" spans="6:6" x14ac:dyDescent="0.35">
      <c r="F410" s="112"/>
    </row>
    <row r="411" spans="6:6" x14ac:dyDescent="0.35">
      <c r="F411" s="112"/>
    </row>
    <row r="412" spans="6:6" x14ac:dyDescent="0.35">
      <c r="F412" s="112"/>
    </row>
    <row r="413" spans="6:6" x14ac:dyDescent="0.35">
      <c r="F413" s="112"/>
    </row>
    <row r="414" spans="6:6" x14ac:dyDescent="0.35">
      <c r="F414" s="112"/>
    </row>
    <row r="415" spans="6:6" x14ac:dyDescent="0.35">
      <c r="F415" s="112"/>
    </row>
    <row r="416" spans="6:6" x14ac:dyDescent="0.35">
      <c r="F416" s="112"/>
    </row>
    <row r="417" spans="6:6" x14ac:dyDescent="0.35">
      <c r="F417" s="112"/>
    </row>
    <row r="418" spans="6:6" x14ac:dyDescent="0.35">
      <c r="F418" s="112"/>
    </row>
    <row r="419" spans="6:6" x14ac:dyDescent="0.35">
      <c r="F419" s="112"/>
    </row>
    <row r="420" spans="6:6" x14ac:dyDescent="0.35">
      <c r="F420" s="112"/>
    </row>
    <row r="421" spans="6:6" x14ac:dyDescent="0.35">
      <c r="F421" s="112"/>
    </row>
    <row r="422" spans="6:6" x14ac:dyDescent="0.35">
      <c r="F422" s="112"/>
    </row>
    <row r="423" spans="6:6" x14ac:dyDescent="0.35">
      <c r="F423" s="112"/>
    </row>
    <row r="424" spans="6:6" x14ac:dyDescent="0.35">
      <c r="F424" s="112"/>
    </row>
    <row r="425" spans="6:6" x14ac:dyDescent="0.35">
      <c r="F425" s="112"/>
    </row>
    <row r="426" spans="6:6" x14ac:dyDescent="0.35">
      <c r="F426" s="112"/>
    </row>
    <row r="427" spans="6:6" x14ac:dyDescent="0.35">
      <c r="F427" s="112"/>
    </row>
    <row r="428" spans="6:6" x14ac:dyDescent="0.35">
      <c r="F428" s="112"/>
    </row>
    <row r="429" spans="6:6" x14ac:dyDescent="0.35">
      <c r="F429" s="112"/>
    </row>
    <row r="430" spans="6:6" x14ac:dyDescent="0.35">
      <c r="F430" s="112"/>
    </row>
    <row r="431" spans="6:6" x14ac:dyDescent="0.35">
      <c r="F431" s="112"/>
    </row>
    <row r="432" spans="6:6" x14ac:dyDescent="0.35">
      <c r="F432" s="112"/>
    </row>
    <row r="433" spans="6:6" x14ac:dyDescent="0.35">
      <c r="F433" s="112"/>
    </row>
    <row r="434" spans="6:6" x14ac:dyDescent="0.35">
      <c r="F434" s="112"/>
    </row>
    <row r="435" spans="6:6" x14ac:dyDescent="0.35">
      <c r="F435" s="112"/>
    </row>
    <row r="436" spans="6:6" x14ac:dyDescent="0.35">
      <c r="F436" s="112"/>
    </row>
    <row r="437" spans="6:6" x14ac:dyDescent="0.35">
      <c r="F437" s="112"/>
    </row>
    <row r="438" spans="6:6" x14ac:dyDescent="0.35">
      <c r="F438" s="112"/>
    </row>
    <row r="439" spans="6:6" x14ac:dyDescent="0.35">
      <c r="F439" s="112"/>
    </row>
    <row r="440" spans="6:6" x14ac:dyDescent="0.35">
      <c r="F440" s="112"/>
    </row>
    <row r="441" spans="6:6" x14ac:dyDescent="0.35">
      <c r="F441" s="112"/>
    </row>
    <row r="442" spans="6:6" x14ac:dyDescent="0.35">
      <c r="F442" s="112"/>
    </row>
    <row r="443" spans="6:6" x14ac:dyDescent="0.35">
      <c r="F443" s="112"/>
    </row>
    <row r="444" spans="6:6" x14ac:dyDescent="0.35">
      <c r="F444" s="112"/>
    </row>
    <row r="445" spans="6:6" x14ac:dyDescent="0.35">
      <c r="F445" s="112"/>
    </row>
    <row r="446" spans="6:6" x14ac:dyDescent="0.35">
      <c r="F446" s="112"/>
    </row>
    <row r="447" spans="6:6" x14ac:dyDescent="0.35">
      <c r="F447" s="112"/>
    </row>
    <row r="448" spans="6:6" x14ac:dyDescent="0.35">
      <c r="F448" s="112"/>
    </row>
    <row r="449" spans="6:6" x14ac:dyDescent="0.35">
      <c r="F449" s="112"/>
    </row>
    <row r="450" spans="6:6" x14ac:dyDescent="0.35">
      <c r="F450" s="112"/>
    </row>
    <row r="451" spans="6:6" x14ac:dyDescent="0.35">
      <c r="F451" s="112"/>
    </row>
    <row r="452" spans="6:6" x14ac:dyDescent="0.35">
      <c r="F452" s="112"/>
    </row>
    <row r="453" spans="6:6" x14ac:dyDescent="0.35">
      <c r="F453" s="112"/>
    </row>
    <row r="454" spans="6:6" x14ac:dyDescent="0.35">
      <c r="F454" s="112"/>
    </row>
    <row r="455" spans="6:6" x14ac:dyDescent="0.35">
      <c r="F455" s="112"/>
    </row>
    <row r="456" spans="6:6" x14ac:dyDescent="0.35">
      <c r="F456" s="112"/>
    </row>
    <row r="457" spans="6:6" x14ac:dyDescent="0.35">
      <c r="F457" s="112"/>
    </row>
    <row r="458" spans="6:6" x14ac:dyDescent="0.35">
      <c r="F458" s="112"/>
    </row>
    <row r="459" spans="6:6" x14ac:dyDescent="0.35">
      <c r="F459" s="112"/>
    </row>
    <row r="460" spans="6:6" x14ac:dyDescent="0.35">
      <c r="F460" s="112"/>
    </row>
    <row r="461" spans="6:6" x14ac:dyDescent="0.35">
      <c r="F461" s="112"/>
    </row>
    <row r="462" spans="6:6" x14ac:dyDescent="0.35">
      <c r="F462" s="112"/>
    </row>
    <row r="463" spans="6:6" x14ac:dyDescent="0.35">
      <c r="F463" s="112"/>
    </row>
    <row r="464" spans="6:6" x14ac:dyDescent="0.35">
      <c r="F464" s="112"/>
    </row>
    <row r="465" spans="6:6" x14ac:dyDescent="0.35">
      <c r="F465" s="112"/>
    </row>
    <row r="466" spans="6:6" x14ac:dyDescent="0.35">
      <c r="F466" s="112"/>
    </row>
    <row r="467" spans="6:6" x14ac:dyDescent="0.35">
      <c r="F467" s="112"/>
    </row>
    <row r="468" spans="6:6" x14ac:dyDescent="0.35">
      <c r="F468" s="112"/>
    </row>
    <row r="469" spans="6:6" x14ac:dyDescent="0.35">
      <c r="F469" s="112"/>
    </row>
    <row r="470" spans="6:6" x14ac:dyDescent="0.35">
      <c r="F470" s="112"/>
    </row>
    <row r="471" spans="6:6" x14ac:dyDescent="0.35">
      <c r="F471" s="112"/>
    </row>
    <row r="472" spans="6:6" x14ac:dyDescent="0.35">
      <c r="F472" s="112"/>
    </row>
    <row r="473" spans="6:6" x14ac:dyDescent="0.35">
      <c r="F473" s="112"/>
    </row>
    <row r="474" spans="6:6" x14ac:dyDescent="0.35">
      <c r="F474" s="112"/>
    </row>
    <row r="475" spans="6:6" x14ac:dyDescent="0.35">
      <c r="F475" s="112"/>
    </row>
    <row r="476" spans="6:6" x14ac:dyDescent="0.35">
      <c r="F476" s="112"/>
    </row>
    <row r="477" spans="6:6" x14ac:dyDescent="0.35">
      <c r="F477" s="112"/>
    </row>
    <row r="478" spans="6:6" x14ac:dyDescent="0.35">
      <c r="F478" s="112"/>
    </row>
    <row r="479" spans="6:6" x14ac:dyDescent="0.35">
      <c r="F479" s="112"/>
    </row>
    <row r="480" spans="6:6" x14ac:dyDescent="0.35">
      <c r="F480" s="112"/>
    </row>
    <row r="481" spans="6:6" x14ac:dyDescent="0.35">
      <c r="F481" s="112"/>
    </row>
    <row r="482" spans="6:6" x14ac:dyDescent="0.35">
      <c r="F482" s="112"/>
    </row>
    <row r="483" spans="6:6" x14ac:dyDescent="0.35">
      <c r="F483" s="112"/>
    </row>
    <row r="484" spans="6:6" x14ac:dyDescent="0.35">
      <c r="F484" s="112"/>
    </row>
    <row r="485" spans="6:6" x14ac:dyDescent="0.35">
      <c r="F485" s="112"/>
    </row>
    <row r="486" spans="6:6" x14ac:dyDescent="0.35">
      <c r="F486" s="112"/>
    </row>
    <row r="487" spans="6:6" x14ac:dyDescent="0.35">
      <c r="F487" s="112"/>
    </row>
    <row r="488" spans="6:6" x14ac:dyDescent="0.35">
      <c r="F488" s="112"/>
    </row>
    <row r="489" spans="6:6" x14ac:dyDescent="0.35">
      <c r="F489" s="112"/>
    </row>
    <row r="490" spans="6:6" x14ac:dyDescent="0.35">
      <c r="F490" s="112"/>
    </row>
    <row r="491" spans="6:6" x14ac:dyDescent="0.35">
      <c r="F491" s="112"/>
    </row>
    <row r="492" spans="6:6" x14ac:dyDescent="0.35">
      <c r="F492" s="112"/>
    </row>
    <row r="493" spans="6:6" x14ac:dyDescent="0.35">
      <c r="F493" s="112"/>
    </row>
    <row r="494" spans="6:6" x14ac:dyDescent="0.35">
      <c r="F494" s="112"/>
    </row>
    <row r="495" spans="6:6" x14ac:dyDescent="0.35">
      <c r="F495" s="112"/>
    </row>
    <row r="496" spans="6:6" x14ac:dyDescent="0.35">
      <c r="F496" s="112"/>
    </row>
    <row r="497" spans="6:6" x14ac:dyDescent="0.35">
      <c r="F497" s="112"/>
    </row>
    <row r="498" spans="6:6" x14ac:dyDescent="0.35">
      <c r="F498" s="112"/>
    </row>
    <row r="499" spans="6:6" x14ac:dyDescent="0.35">
      <c r="F499" s="112"/>
    </row>
    <row r="500" spans="6:6" x14ac:dyDescent="0.35">
      <c r="F500" s="112"/>
    </row>
    <row r="501" spans="6:6" x14ac:dyDescent="0.35">
      <c r="F501" s="112"/>
    </row>
    <row r="502" spans="6:6" x14ac:dyDescent="0.35">
      <c r="F502" s="112"/>
    </row>
    <row r="503" spans="6:6" x14ac:dyDescent="0.35">
      <c r="F503" s="112"/>
    </row>
    <row r="504" spans="6:6" x14ac:dyDescent="0.35">
      <c r="F504" s="112"/>
    </row>
    <row r="505" spans="6:6" x14ac:dyDescent="0.35">
      <c r="F505" s="112"/>
    </row>
    <row r="506" spans="6:6" x14ac:dyDescent="0.35">
      <c r="F506" s="112"/>
    </row>
    <row r="507" spans="6:6" x14ac:dyDescent="0.35">
      <c r="F507" s="112"/>
    </row>
    <row r="508" spans="6:6" x14ac:dyDescent="0.35">
      <c r="F508" s="112"/>
    </row>
    <row r="509" spans="6:6" x14ac:dyDescent="0.35">
      <c r="F509" s="112"/>
    </row>
    <row r="510" spans="6:6" x14ac:dyDescent="0.35">
      <c r="F510" s="112"/>
    </row>
    <row r="511" spans="6:6" x14ac:dyDescent="0.35">
      <c r="F511" s="112"/>
    </row>
    <row r="512" spans="6:6" x14ac:dyDescent="0.35">
      <c r="F512" s="112"/>
    </row>
    <row r="513" spans="6:6" x14ac:dyDescent="0.35">
      <c r="F513" s="112"/>
    </row>
    <row r="514" spans="6:6" x14ac:dyDescent="0.35">
      <c r="F514" s="112"/>
    </row>
    <row r="515" spans="6:6" x14ac:dyDescent="0.35">
      <c r="F515" s="112"/>
    </row>
    <row r="516" spans="6:6" x14ac:dyDescent="0.35">
      <c r="F516" s="112"/>
    </row>
    <row r="517" spans="6:6" x14ac:dyDescent="0.35">
      <c r="F517" s="112"/>
    </row>
    <row r="518" spans="6:6" x14ac:dyDescent="0.35">
      <c r="F518" s="112"/>
    </row>
    <row r="519" spans="6:6" x14ac:dyDescent="0.35">
      <c r="F519" s="112"/>
    </row>
    <row r="520" spans="6:6" x14ac:dyDescent="0.35">
      <c r="F520" s="112"/>
    </row>
    <row r="521" spans="6:6" x14ac:dyDescent="0.35">
      <c r="F521" s="112"/>
    </row>
    <row r="522" spans="6:6" x14ac:dyDescent="0.35">
      <c r="F522" s="112"/>
    </row>
    <row r="523" spans="6:6" x14ac:dyDescent="0.35">
      <c r="F523" s="112"/>
    </row>
    <row r="524" spans="6:6" x14ac:dyDescent="0.35">
      <c r="F524" s="112"/>
    </row>
    <row r="525" spans="6:6" x14ac:dyDescent="0.35">
      <c r="F525" s="112"/>
    </row>
    <row r="526" spans="6:6" x14ac:dyDescent="0.35">
      <c r="F526" s="112"/>
    </row>
    <row r="527" spans="6:6" x14ac:dyDescent="0.35">
      <c r="F527" s="112"/>
    </row>
    <row r="528" spans="6:6" x14ac:dyDescent="0.35">
      <c r="F528" s="112"/>
    </row>
    <row r="529" spans="6:6" x14ac:dyDescent="0.35">
      <c r="F529" s="112"/>
    </row>
    <row r="530" spans="6:6" x14ac:dyDescent="0.35">
      <c r="F530" s="112"/>
    </row>
    <row r="531" spans="6:6" x14ac:dyDescent="0.35">
      <c r="F531" s="112"/>
    </row>
    <row r="532" spans="6:6" x14ac:dyDescent="0.35">
      <c r="F532" s="112"/>
    </row>
    <row r="533" spans="6:6" x14ac:dyDescent="0.35">
      <c r="F533" s="112"/>
    </row>
    <row r="534" spans="6:6" x14ac:dyDescent="0.35">
      <c r="F534" s="112"/>
    </row>
    <row r="535" spans="6:6" x14ac:dyDescent="0.35">
      <c r="F535" s="112"/>
    </row>
    <row r="536" spans="6:6" x14ac:dyDescent="0.35">
      <c r="F536" s="112"/>
    </row>
    <row r="537" spans="6:6" x14ac:dyDescent="0.35">
      <c r="F537" s="112"/>
    </row>
    <row r="538" spans="6:6" x14ac:dyDescent="0.35">
      <c r="F538" s="112"/>
    </row>
    <row r="539" spans="6:6" x14ac:dyDescent="0.35">
      <c r="F539" s="112"/>
    </row>
    <row r="540" spans="6:6" x14ac:dyDescent="0.35">
      <c r="F540" s="112"/>
    </row>
    <row r="541" spans="6:6" x14ac:dyDescent="0.35">
      <c r="F541" s="112"/>
    </row>
    <row r="542" spans="6:6" x14ac:dyDescent="0.35">
      <c r="F542" s="112"/>
    </row>
    <row r="543" spans="6:6" x14ac:dyDescent="0.35">
      <c r="F543" s="112"/>
    </row>
    <row r="544" spans="6:6" x14ac:dyDescent="0.35">
      <c r="F544" s="112"/>
    </row>
    <row r="545" spans="6:6" x14ac:dyDescent="0.35">
      <c r="F545" s="112"/>
    </row>
    <row r="546" spans="6:6" x14ac:dyDescent="0.35">
      <c r="F546" s="112"/>
    </row>
    <row r="547" spans="6:6" x14ac:dyDescent="0.35">
      <c r="F547" s="112"/>
    </row>
    <row r="548" spans="6:6" x14ac:dyDescent="0.35">
      <c r="F548" s="112"/>
    </row>
    <row r="549" spans="6:6" x14ac:dyDescent="0.35">
      <c r="F549" s="112"/>
    </row>
    <row r="550" spans="6:6" x14ac:dyDescent="0.35">
      <c r="F550" s="112"/>
    </row>
    <row r="551" spans="6:6" x14ac:dyDescent="0.35">
      <c r="F551" s="112"/>
    </row>
    <row r="552" spans="6:6" x14ac:dyDescent="0.35">
      <c r="F552" s="112"/>
    </row>
    <row r="553" spans="6:6" x14ac:dyDescent="0.35">
      <c r="F553" s="112"/>
    </row>
    <row r="554" spans="6:6" x14ac:dyDescent="0.35">
      <c r="F554" s="112"/>
    </row>
    <row r="555" spans="6:6" x14ac:dyDescent="0.35">
      <c r="F555" s="112"/>
    </row>
    <row r="556" spans="6:6" x14ac:dyDescent="0.35">
      <c r="F556" s="112"/>
    </row>
    <row r="557" spans="6:6" x14ac:dyDescent="0.35">
      <c r="F557" s="112"/>
    </row>
    <row r="558" spans="6:6" x14ac:dyDescent="0.35">
      <c r="F558" s="112"/>
    </row>
    <row r="559" spans="6:6" x14ac:dyDescent="0.35">
      <c r="F559" s="112"/>
    </row>
    <row r="560" spans="6:6" x14ac:dyDescent="0.35">
      <c r="F560" s="112"/>
    </row>
    <row r="561" spans="6:6" x14ac:dyDescent="0.35">
      <c r="F561" s="112"/>
    </row>
    <row r="562" spans="6:6" x14ac:dyDescent="0.35">
      <c r="F562" s="112"/>
    </row>
    <row r="563" spans="6:6" x14ac:dyDescent="0.35">
      <c r="F563" s="112"/>
    </row>
    <row r="564" spans="6:6" x14ac:dyDescent="0.35">
      <c r="F564" s="112"/>
    </row>
    <row r="565" spans="6:6" x14ac:dyDescent="0.35">
      <c r="F565" s="112"/>
    </row>
    <row r="566" spans="6:6" x14ac:dyDescent="0.35">
      <c r="F566" s="112"/>
    </row>
    <row r="567" spans="6:6" x14ac:dyDescent="0.35">
      <c r="F567" s="112"/>
    </row>
    <row r="568" spans="6:6" x14ac:dyDescent="0.35">
      <c r="F568" s="112"/>
    </row>
    <row r="569" spans="6:6" x14ac:dyDescent="0.35">
      <c r="F569" s="112"/>
    </row>
    <row r="570" spans="6:6" x14ac:dyDescent="0.35">
      <c r="F570" s="112"/>
    </row>
    <row r="571" spans="6:6" x14ac:dyDescent="0.35">
      <c r="F571" s="112"/>
    </row>
    <row r="572" spans="6:6" x14ac:dyDescent="0.35">
      <c r="F572" s="112"/>
    </row>
    <row r="573" spans="6:6" x14ac:dyDescent="0.35">
      <c r="F573" s="112"/>
    </row>
    <row r="574" spans="6:6" x14ac:dyDescent="0.35">
      <c r="F574" s="112"/>
    </row>
    <row r="575" spans="6:6" x14ac:dyDescent="0.35">
      <c r="F575" s="112"/>
    </row>
    <row r="576" spans="6:6" x14ac:dyDescent="0.35">
      <c r="F576" s="112"/>
    </row>
    <row r="577" spans="6:6" x14ac:dyDescent="0.35">
      <c r="F577" s="112"/>
    </row>
    <row r="578" spans="6:6" x14ac:dyDescent="0.35">
      <c r="F578" s="112"/>
    </row>
    <row r="579" spans="6:6" x14ac:dyDescent="0.35">
      <c r="F579" s="112"/>
    </row>
    <row r="580" spans="6:6" x14ac:dyDescent="0.35">
      <c r="F580" s="112"/>
    </row>
    <row r="581" spans="6:6" x14ac:dyDescent="0.35">
      <c r="F581" s="112"/>
    </row>
    <row r="582" spans="6:6" x14ac:dyDescent="0.35">
      <c r="F582" s="112"/>
    </row>
    <row r="583" spans="6:6" x14ac:dyDescent="0.35">
      <c r="F583" s="112"/>
    </row>
    <row r="584" spans="6:6" x14ac:dyDescent="0.35">
      <c r="F584" s="112"/>
    </row>
    <row r="585" spans="6:6" x14ac:dyDescent="0.35">
      <c r="F585" s="112"/>
    </row>
    <row r="586" spans="6:6" x14ac:dyDescent="0.35">
      <c r="F586" s="112"/>
    </row>
    <row r="587" spans="6:6" x14ac:dyDescent="0.35">
      <c r="F587" s="112"/>
    </row>
    <row r="588" spans="6:6" x14ac:dyDescent="0.35">
      <c r="F588" s="112"/>
    </row>
    <row r="589" spans="6:6" x14ac:dyDescent="0.35">
      <c r="F589" s="112"/>
    </row>
    <row r="590" spans="6:6" x14ac:dyDescent="0.35">
      <c r="F590" s="112"/>
    </row>
    <row r="591" spans="6:6" x14ac:dyDescent="0.35">
      <c r="F591" s="112"/>
    </row>
    <row r="592" spans="6:6" x14ac:dyDescent="0.35">
      <c r="F592" s="112"/>
    </row>
    <row r="593" spans="6:6" x14ac:dyDescent="0.35">
      <c r="F593" s="112"/>
    </row>
    <row r="594" spans="6:6" x14ac:dyDescent="0.35">
      <c r="F594" s="112"/>
    </row>
    <row r="595" spans="6:6" x14ac:dyDescent="0.35">
      <c r="F595" s="112"/>
    </row>
    <row r="596" spans="6:6" x14ac:dyDescent="0.35">
      <c r="F596" s="112"/>
    </row>
    <row r="597" spans="6:6" x14ac:dyDescent="0.35">
      <c r="F597" s="112"/>
    </row>
    <row r="598" spans="6:6" x14ac:dyDescent="0.35">
      <c r="F598" s="112"/>
    </row>
    <row r="599" spans="6:6" x14ac:dyDescent="0.35">
      <c r="F599" s="112"/>
    </row>
    <row r="600" spans="6:6" x14ac:dyDescent="0.35">
      <c r="F600" s="112"/>
    </row>
    <row r="601" spans="6:6" x14ac:dyDescent="0.35">
      <c r="F601" s="112"/>
    </row>
    <row r="602" spans="6:6" x14ac:dyDescent="0.35">
      <c r="F602" s="112"/>
    </row>
    <row r="603" spans="6:6" x14ac:dyDescent="0.35">
      <c r="F603" s="112"/>
    </row>
    <row r="604" spans="6:6" x14ac:dyDescent="0.35">
      <c r="F604" s="112"/>
    </row>
    <row r="605" spans="6:6" x14ac:dyDescent="0.35">
      <c r="F605" s="112"/>
    </row>
    <row r="606" spans="6:6" x14ac:dyDescent="0.35">
      <c r="F606" s="112"/>
    </row>
    <row r="607" spans="6:6" x14ac:dyDescent="0.35">
      <c r="F607" s="112"/>
    </row>
    <row r="608" spans="6:6" x14ac:dyDescent="0.35">
      <c r="F608" s="112"/>
    </row>
    <row r="609" spans="6:6" x14ac:dyDescent="0.35">
      <c r="F609" s="112"/>
    </row>
    <row r="610" spans="6:6" x14ac:dyDescent="0.35">
      <c r="F610" s="112"/>
    </row>
    <row r="611" spans="6:6" x14ac:dyDescent="0.35">
      <c r="F611" s="112"/>
    </row>
    <row r="612" spans="6:6" x14ac:dyDescent="0.35">
      <c r="F612" s="112"/>
    </row>
    <row r="613" spans="6:6" x14ac:dyDescent="0.35">
      <c r="F613" s="112"/>
    </row>
    <row r="614" spans="6:6" x14ac:dyDescent="0.35">
      <c r="F614" s="112"/>
    </row>
    <row r="615" spans="6:6" x14ac:dyDescent="0.35">
      <c r="F615" s="112"/>
    </row>
    <row r="616" spans="6:6" x14ac:dyDescent="0.35">
      <c r="F616" s="112"/>
    </row>
    <row r="617" spans="6:6" x14ac:dyDescent="0.35">
      <c r="F617" s="112"/>
    </row>
    <row r="618" spans="6:6" x14ac:dyDescent="0.35">
      <c r="F618" s="112"/>
    </row>
    <row r="619" spans="6:6" x14ac:dyDescent="0.35">
      <c r="F619" s="112"/>
    </row>
    <row r="620" spans="6:6" x14ac:dyDescent="0.35">
      <c r="F620" s="112"/>
    </row>
    <row r="621" spans="6:6" x14ac:dyDescent="0.35">
      <c r="F621" s="112"/>
    </row>
    <row r="622" spans="6:6" x14ac:dyDescent="0.35">
      <c r="F622" s="112"/>
    </row>
    <row r="623" spans="6:6" x14ac:dyDescent="0.35">
      <c r="F623" s="112"/>
    </row>
    <row r="624" spans="6:6" x14ac:dyDescent="0.35">
      <c r="F624" s="112"/>
    </row>
    <row r="625" spans="6:6" x14ac:dyDescent="0.35">
      <c r="F625" s="112"/>
    </row>
    <row r="626" spans="6:6" x14ac:dyDescent="0.35">
      <c r="F626" s="112"/>
    </row>
    <row r="627" spans="6:6" x14ac:dyDescent="0.35">
      <c r="F627" s="112"/>
    </row>
    <row r="628" spans="6:6" x14ac:dyDescent="0.35">
      <c r="F628" s="112"/>
    </row>
    <row r="629" spans="6:6" x14ac:dyDescent="0.35">
      <c r="F629" s="112"/>
    </row>
    <row r="630" spans="6:6" x14ac:dyDescent="0.35">
      <c r="F630" s="112"/>
    </row>
    <row r="631" spans="6:6" x14ac:dyDescent="0.35">
      <c r="F631" s="112"/>
    </row>
    <row r="632" spans="6:6" x14ac:dyDescent="0.35">
      <c r="F632" s="112"/>
    </row>
    <row r="633" spans="6:6" x14ac:dyDescent="0.35">
      <c r="F633" s="112"/>
    </row>
    <row r="634" spans="6:6" x14ac:dyDescent="0.35">
      <c r="F634" s="112"/>
    </row>
    <row r="635" spans="6:6" x14ac:dyDescent="0.35">
      <c r="F635" s="112"/>
    </row>
    <row r="636" spans="6:6" x14ac:dyDescent="0.35">
      <c r="F636" s="112"/>
    </row>
    <row r="637" spans="6:6" x14ac:dyDescent="0.35">
      <c r="F637" s="112"/>
    </row>
    <row r="638" spans="6:6" x14ac:dyDescent="0.35">
      <c r="F638" s="112"/>
    </row>
    <row r="639" spans="6:6" x14ac:dyDescent="0.35">
      <c r="F639" s="112"/>
    </row>
    <row r="640" spans="6:6" x14ac:dyDescent="0.35">
      <c r="F640" s="112"/>
    </row>
    <row r="641" spans="6:6" x14ac:dyDescent="0.35">
      <c r="F641" s="112"/>
    </row>
    <row r="642" spans="6:6" x14ac:dyDescent="0.35">
      <c r="F642" s="112"/>
    </row>
    <row r="643" spans="6:6" x14ac:dyDescent="0.35">
      <c r="F643" s="112"/>
    </row>
    <row r="644" spans="6:6" x14ac:dyDescent="0.35">
      <c r="F644" s="112"/>
    </row>
    <row r="645" spans="6:6" x14ac:dyDescent="0.35">
      <c r="F645" s="112"/>
    </row>
    <row r="646" spans="6:6" x14ac:dyDescent="0.35">
      <c r="F646" s="112"/>
    </row>
    <row r="647" spans="6:6" x14ac:dyDescent="0.35">
      <c r="F647" s="112"/>
    </row>
    <row r="648" spans="6:6" x14ac:dyDescent="0.35">
      <c r="F648" s="112"/>
    </row>
    <row r="649" spans="6:6" x14ac:dyDescent="0.35">
      <c r="F649" s="112"/>
    </row>
    <row r="650" spans="6:6" x14ac:dyDescent="0.35">
      <c r="F650" s="112"/>
    </row>
    <row r="651" spans="6:6" x14ac:dyDescent="0.35">
      <c r="F651" s="112"/>
    </row>
    <row r="652" spans="6:6" x14ac:dyDescent="0.35">
      <c r="F652" s="112"/>
    </row>
    <row r="653" spans="6:6" x14ac:dyDescent="0.35">
      <c r="F653" s="112"/>
    </row>
    <row r="654" spans="6:6" x14ac:dyDescent="0.35">
      <c r="F654" s="112"/>
    </row>
    <row r="655" spans="6:6" x14ac:dyDescent="0.35">
      <c r="F655" s="112"/>
    </row>
    <row r="656" spans="6:6" x14ac:dyDescent="0.35">
      <c r="F656" s="112"/>
    </row>
    <row r="657" spans="6:6" x14ac:dyDescent="0.35">
      <c r="F657" s="112"/>
    </row>
    <row r="658" spans="6:6" x14ac:dyDescent="0.35">
      <c r="F658" s="112"/>
    </row>
    <row r="659" spans="6:6" x14ac:dyDescent="0.35">
      <c r="F659" s="112"/>
    </row>
    <row r="660" spans="6:6" x14ac:dyDescent="0.35">
      <c r="F660" s="112"/>
    </row>
    <row r="661" spans="6:6" x14ac:dyDescent="0.35">
      <c r="F661" s="112"/>
    </row>
    <row r="662" spans="6:6" x14ac:dyDescent="0.35">
      <c r="F662" s="112"/>
    </row>
    <row r="663" spans="6:6" x14ac:dyDescent="0.35">
      <c r="F663" s="112"/>
    </row>
    <row r="664" spans="6:6" x14ac:dyDescent="0.35">
      <c r="F664" s="112"/>
    </row>
    <row r="665" spans="6:6" x14ac:dyDescent="0.35">
      <c r="F665" s="112"/>
    </row>
    <row r="666" spans="6:6" x14ac:dyDescent="0.35">
      <c r="F666" s="112"/>
    </row>
    <row r="667" spans="6:6" x14ac:dyDescent="0.35">
      <c r="F667" s="112"/>
    </row>
    <row r="668" spans="6:6" x14ac:dyDescent="0.35">
      <c r="F668" s="112"/>
    </row>
    <row r="669" spans="6:6" x14ac:dyDescent="0.35">
      <c r="F669" s="112"/>
    </row>
    <row r="670" spans="6:6" x14ac:dyDescent="0.35">
      <c r="F670" s="112"/>
    </row>
    <row r="671" spans="6:6" x14ac:dyDescent="0.35">
      <c r="F671" s="112"/>
    </row>
    <row r="672" spans="6:6" x14ac:dyDescent="0.35">
      <c r="F672" s="112"/>
    </row>
    <row r="673" spans="6:6" x14ac:dyDescent="0.35">
      <c r="F673" s="112"/>
    </row>
    <row r="674" spans="6:6" x14ac:dyDescent="0.35">
      <c r="F674" s="112"/>
    </row>
    <row r="675" spans="6:6" x14ac:dyDescent="0.35">
      <c r="F675" s="112"/>
    </row>
    <row r="676" spans="6:6" x14ac:dyDescent="0.35">
      <c r="F676" s="112"/>
    </row>
    <row r="677" spans="6:6" x14ac:dyDescent="0.35">
      <c r="F677" s="112"/>
    </row>
    <row r="678" spans="6:6" x14ac:dyDescent="0.35">
      <c r="F678" s="112"/>
    </row>
    <row r="679" spans="6:6" x14ac:dyDescent="0.35">
      <c r="F679" s="112"/>
    </row>
    <row r="680" spans="6:6" x14ac:dyDescent="0.35">
      <c r="F680" s="112"/>
    </row>
    <row r="681" spans="6:6" x14ac:dyDescent="0.35">
      <c r="F681" s="112"/>
    </row>
    <row r="682" spans="6:6" x14ac:dyDescent="0.35">
      <c r="F682" s="112"/>
    </row>
    <row r="683" spans="6:6" x14ac:dyDescent="0.35">
      <c r="F683" s="112"/>
    </row>
    <row r="684" spans="6:6" x14ac:dyDescent="0.35">
      <c r="F684" s="112"/>
    </row>
    <row r="685" spans="6:6" x14ac:dyDescent="0.35">
      <c r="F685" s="112"/>
    </row>
    <row r="686" spans="6:6" x14ac:dyDescent="0.35">
      <c r="F686" s="112"/>
    </row>
    <row r="687" spans="6:6" x14ac:dyDescent="0.35">
      <c r="F687" s="112"/>
    </row>
    <row r="688" spans="6:6" x14ac:dyDescent="0.35">
      <c r="F688" s="112"/>
    </row>
    <row r="689" spans="6:6" x14ac:dyDescent="0.35">
      <c r="F689" s="112"/>
    </row>
    <row r="690" spans="6:6" x14ac:dyDescent="0.35">
      <c r="F690" s="112"/>
    </row>
    <row r="691" spans="6:6" x14ac:dyDescent="0.35">
      <c r="F691" s="112"/>
    </row>
    <row r="692" spans="6:6" x14ac:dyDescent="0.35">
      <c r="F692" s="112"/>
    </row>
    <row r="693" spans="6:6" x14ac:dyDescent="0.35">
      <c r="F693" s="112"/>
    </row>
    <row r="694" spans="6:6" x14ac:dyDescent="0.35">
      <c r="F694" s="112"/>
    </row>
    <row r="695" spans="6:6" x14ac:dyDescent="0.35">
      <c r="F695" s="112"/>
    </row>
    <row r="696" spans="6:6" x14ac:dyDescent="0.35">
      <c r="F696" s="112"/>
    </row>
    <row r="697" spans="6:6" x14ac:dyDescent="0.35">
      <c r="F697" s="112"/>
    </row>
    <row r="698" spans="6:6" x14ac:dyDescent="0.35">
      <c r="F698" s="112"/>
    </row>
    <row r="699" spans="6:6" x14ac:dyDescent="0.35">
      <c r="F699" s="112"/>
    </row>
    <row r="700" spans="6:6" x14ac:dyDescent="0.35">
      <c r="F700" s="112"/>
    </row>
    <row r="701" spans="6:6" x14ac:dyDescent="0.35">
      <c r="F701" s="112"/>
    </row>
    <row r="702" spans="6:6" x14ac:dyDescent="0.35">
      <c r="F702" s="112"/>
    </row>
    <row r="703" spans="6:6" x14ac:dyDescent="0.35">
      <c r="F703" s="112"/>
    </row>
    <row r="704" spans="6:6" x14ac:dyDescent="0.35">
      <c r="F704" s="112"/>
    </row>
    <row r="705" spans="6:6" x14ac:dyDescent="0.35">
      <c r="F705" s="112"/>
    </row>
    <row r="706" spans="6:6" x14ac:dyDescent="0.35">
      <c r="F706" s="112"/>
    </row>
    <row r="707" spans="6:6" x14ac:dyDescent="0.35">
      <c r="F707" s="112"/>
    </row>
    <row r="708" spans="6:6" x14ac:dyDescent="0.35">
      <c r="F708" s="112"/>
    </row>
    <row r="709" spans="6:6" x14ac:dyDescent="0.35">
      <c r="F709" s="112"/>
    </row>
    <row r="710" spans="6:6" x14ac:dyDescent="0.35">
      <c r="F710" s="112"/>
    </row>
    <row r="711" spans="6:6" x14ac:dyDescent="0.35">
      <c r="F711" s="112"/>
    </row>
    <row r="712" spans="6:6" x14ac:dyDescent="0.35">
      <c r="F712" s="112"/>
    </row>
    <row r="713" spans="6:6" x14ac:dyDescent="0.35">
      <c r="F713" s="112"/>
    </row>
    <row r="714" spans="6:6" x14ac:dyDescent="0.35">
      <c r="F714" s="112"/>
    </row>
    <row r="715" spans="6:6" x14ac:dyDescent="0.35">
      <c r="F715" s="112"/>
    </row>
    <row r="716" spans="6:6" x14ac:dyDescent="0.35">
      <c r="F716" s="112"/>
    </row>
    <row r="717" spans="6:6" x14ac:dyDescent="0.35">
      <c r="F717" s="112"/>
    </row>
    <row r="718" spans="6:6" x14ac:dyDescent="0.35">
      <c r="F718" s="112"/>
    </row>
    <row r="719" spans="6:6" x14ac:dyDescent="0.35">
      <c r="F719" s="112"/>
    </row>
    <row r="720" spans="6:6" x14ac:dyDescent="0.35">
      <c r="F720" s="112"/>
    </row>
    <row r="721" spans="6:6" x14ac:dyDescent="0.35">
      <c r="F721" s="112"/>
    </row>
    <row r="722" spans="6:6" x14ac:dyDescent="0.35">
      <c r="F722" s="112"/>
    </row>
    <row r="723" spans="6:6" x14ac:dyDescent="0.35">
      <c r="F723" s="112"/>
    </row>
    <row r="724" spans="6:6" x14ac:dyDescent="0.35">
      <c r="F724" s="112"/>
    </row>
    <row r="725" spans="6:6" x14ac:dyDescent="0.35">
      <c r="F725" s="112"/>
    </row>
    <row r="726" spans="6:6" x14ac:dyDescent="0.35">
      <c r="F726" s="112"/>
    </row>
    <row r="727" spans="6:6" x14ac:dyDescent="0.35">
      <c r="F727" s="112"/>
    </row>
    <row r="728" spans="6:6" x14ac:dyDescent="0.35">
      <c r="F728" s="112"/>
    </row>
    <row r="729" spans="6:6" x14ac:dyDescent="0.35">
      <c r="F729" s="112"/>
    </row>
    <row r="730" spans="6:6" x14ac:dyDescent="0.35">
      <c r="F730" s="112"/>
    </row>
    <row r="731" spans="6:6" x14ac:dyDescent="0.35">
      <c r="F731" s="112"/>
    </row>
    <row r="732" spans="6:6" x14ac:dyDescent="0.35">
      <c r="F732" s="112"/>
    </row>
    <row r="733" spans="6:6" x14ac:dyDescent="0.35">
      <c r="F733" s="112"/>
    </row>
    <row r="734" spans="6:6" x14ac:dyDescent="0.35">
      <c r="F734" s="112"/>
    </row>
    <row r="735" spans="6:6" x14ac:dyDescent="0.35">
      <c r="F735" s="112"/>
    </row>
    <row r="736" spans="6:6" x14ac:dyDescent="0.35">
      <c r="F736" s="112"/>
    </row>
    <row r="737" spans="6:6" x14ac:dyDescent="0.35">
      <c r="F737" s="112"/>
    </row>
    <row r="738" spans="6:6" x14ac:dyDescent="0.35">
      <c r="F738" s="112"/>
    </row>
    <row r="739" spans="6:6" x14ac:dyDescent="0.35">
      <c r="F739" s="112"/>
    </row>
    <row r="740" spans="6:6" x14ac:dyDescent="0.35">
      <c r="F740" s="112"/>
    </row>
    <row r="741" spans="6:6" x14ac:dyDescent="0.35">
      <c r="F741" s="112"/>
    </row>
    <row r="742" spans="6:6" x14ac:dyDescent="0.35">
      <c r="F742" s="112"/>
    </row>
    <row r="743" spans="6:6" x14ac:dyDescent="0.35">
      <c r="F743" s="112"/>
    </row>
    <row r="744" spans="6:6" x14ac:dyDescent="0.35">
      <c r="F744" s="112"/>
    </row>
    <row r="745" spans="6:6" x14ac:dyDescent="0.35">
      <c r="F745" s="112"/>
    </row>
    <row r="746" spans="6:6" x14ac:dyDescent="0.35">
      <c r="F746" s="112"/>
    </row>
    <row r="747" spans="6:6" x14ac:dyDescent="0.35">
      <c r="F747" s="112"/>
    </row>
    <row r="748" spans="6:6" x14ac:dyDescent="0.35">
      <c r="F748" s="112"/>
    </row>
    <row r="749" spans="6:6" x14ac:dyDescent="0.35">
      <c r="F749" s="112"/>
    </row>
    <row r="750" spans="6:6" x14ac:dyDescent="0.35">
      <c r="F750" s="112"/>
    </row>
    <row r="751" spans="6:6" x14ac:dyDescent="0.35">
      <c r="F751" s="112"/>
    </row>
    <row r="752" spans="6:6" x14ac:dyDescent="0.35">
      <c r="F752" s="112"/>
    </row>
    <row r="753" spans="6:6" x14ac:dyDescent="0.35">
      <c r="F753" s="112"/>
    </row>
    <row r="754" spans="6:6" x14ac:dyDescent="0.35">
      <c r="F754" s="112"/>
    </row>
    <row r="755" spans="6:6" x14ac:dyDescent="0.35">
      <c r="F755" s="112"/>
    </row>
    <row r="756" spans="6:6" x14ac:dyDescent="0.35">
      <c r="F756" s="112"/>
    </row>
    <row r="757" spans="6:6" x14ac:dyDescent="0.35">
      <c r="F757" s="112"/>
    </row>
    <row r="758" spans="6:6" x14ac:dyDescent="0.35">
      <c r="F758" s="112"/>
    </row>
    <row r="759" spans="6:6" x14ac:dyDescent="0.35">
      <c r="F759" s="112"/>
    </row>
    <row r="760" spans="6:6" x14ac:dyDescent="0.35">
      <c r="F760" s="112"/>
    </row>
    <row r="761" spans="6:6" x14ac:dyDescent="0.35">
      <c r="F761" s="112"/>
    </row>
    <row r="762" spans="6:6" x14ac:dyDescent="0.35">
      <c r="F762" s="112"/>
    </row>
    <row r="763" spans="6:6" x14ac:dyDescent="0.35">
      <c r="F763" s="112"/>
    </row>
    <row r="764" spans="6:6" x14ac:dyDescent="0.35">
      <c r="F764" s="112"/>
    </row>
    <row r="765" spans="6:6" x14ac:dyDescent="0.35">
      <c r="F765" s="112"/>
    </row>
    <row r="766" spans="6:6" x14ac:dyDescent="0.35">
      <c r="F766" s="112"/>
    </row>
    <row r="767" spans="6:6" x14ac:dyDescent="0.35">
      <c r="F767" s="112"/>
    </row>
    <row r="768" spans="6:6" x14ac:dyDescent="0.35">
      <c r="F768" s="112"/>
    </row>
    <row r="769" spans="6:6" x14ac:dyDescent="0.35">
      <c r="F769" s="112"/>
    </row>
    <row r="770" spans="6:6" x14ac:dyDescent="0.35">
      <c r="F770" s="112"/>
    </row>
    <row r="771" spans="6:6" x14ac:dyDescent="0.35">
      <c r="F771" s="112"/>
    </row>
    <row r="772" spans="6:6" x14ac:dyDescent="0.35">
      <c r="F772" s="112"/>
    </row>
    <row r="773" spans="6:6" x14ac:dyDescent="0.35">
      <c r="F773" s="112"/>
    </row>
    <row r="774" spans="6:6" x14ac:dyDescent="0.35">
      <c r="F774" s="112"/>
    </row>
    <row r="775" spans="6:6" x14ac:dyDescent="0.35">
      <c r="F775" s="112"/>
    </row>
    <row r="776" spans="6:6" x14ac:dyDescent="0.35">
      <c r="F776" s="112"/>
    </row>
    <row r="777" spans="6:6" x14ac:dyDescent="0.35">
      <c r="F777" s="112"/>
    </row>
    <row r="778" spans="6:6" x14ac:dyDescent="0.35">
      <c r="F778" s="112"/>
    </row>
    <row r="779" spans="6:6" x14ac:dyDescent="0.35">
      <c r="F779" s="112"/>
    </row>
    <row r="780" spans="6:6" x14ac:dyDescent="0.35">
      <c r="F780" s="112"/>
    </row>
    <row r="781" spans="6:6" x14ac:dyDescent="0.35">
      <c r="F781" s="112"/>
    </row>
    <row r="782" spans="6:6" x14ac:dyDescent="0.35">
      <c r="F782" s="112"/>
    </row>
    <row r="783" spans="6:6" x14ac:dyDescent="0.35">
      <c r="F783" s="112"/>
    </row>
    <row r="784" spans="6:6" x14ac:dyDescent="0.35">
      <c r="F784" s="112"/>
    </row>
    <row r="785" spans="6:6" x14ac:dyDescent="0.35">
      <c r="F785" s="112"/>
    </row>
    <row r="786" spans="6:6" x14ac:dyDescent="0.35">
      <c r="F786" s="112"/>
    </row>
    <row r="787" spans="6:6" x14ac:dyDescent="0.35">
      <c r="F787" s="112"/>
    </row>
    <row r="788" spans="6:6" x14ac:dyDescent="0.35">
      <c r="F788" s="112"/>
    </row>
    <row r="789" spans="6:6" x14ac:dyDescent="0.35">
      <c r="F789" s="112"/>
    </row>
    <row r="790" spans="6:6" x14ac:dyDescent="0.35">
      <c r="F790" s="112"/>
    </row>
    <row r="791" spans="6:6" x14ac:dyDescent="0.35">
      <c r="F791" s="112"/>
    </row>
    <row r="792" spans="6:6" x14ac:dyDescent="0.35">
      <c r="F792" s="112"/>
    </row>
    <row r="793" spans="6:6" x14ac:dyDescent="0.35">
      <c r="F793" s="112"/>
    </row>
    <row r="794" spans="6:6" x14ac:dyDescent="0.35">
      <c r="F794" s="112"/>
    </row>
    <row r="795" spans="6:6" x14ac:dyDescent="0.35">
      <c r="F795" s="112"/>
    </row>
    <row r="796" spans="6:6" x14ac:dyDescent="0.35">
      <c r="F796" s="112"/>
    </row>
    <row r="797" spans="6:6" x14ac:dyDescent="0.35">
      <c r="F797" s="112"/>
    </row>
    <row r="798" spans="6:6" x14ac:dyDescent="0.35">
      <c r="F798" s="112"/>
    </row>
    <row r="799" spans="6:6" x14ac:dyDescent="0.35">
      <c r="F799" s="112"/>
    </row>
    <row r="800" spans="6:6" x14ac:dyDescent="0.35">
      <c r="F800" s="112"/>
    </row>
    <row r="801" spans="6:6" x14ac:dyDescent="0.35">
      <c r="F801" s="112"/>
    </row>
    <row r="802" spans="6:6" x14ac:dyDescent="0.35">
      <c r="F802" s="112"/>
    </row>
    <row r="803" spans="6:6" x14ac:dyDescent="0.35">
      <c r="F803" s="112"/>
    </row>
    <row r="804" spans="6:6" x14ac:dyDescent="0.35">
      <c r="F804" s="112"/>
    </row>
    <row r="805" spans="6:6" x14ac:dyDescent="0.35">
      <c r="F805" s="112"/>
    </row>
    <row r="806" spans="6:6" x14ac:dyDescent="0.35">
      <c r="F806" s="112"/>
    </row>
    <row r="807" spans="6:6" x14ac:dyDescent="0.35">
      <c r="F807" s="112"/>
    </row>
    <row r="808" spans="6:6" x14ac:dyDescent="0.35">
      <c r="F808" s="112"/>
    </row>
    <row r="809" spans="6:6" x14ac:dyDescent="0.35">
      <c r="F809" s="112"/>
    </row>
    <row r="810" spans="6:6" x14ac:dyDescent="0.35">
      <c r="F810" s="112"/>
    </row>
    <row r="811" spans="6:6" x14ac:dyDescent="0.35">
      <c r="F811" s="112"/>
    </row>
    <row r="812" spans="6:6" x14ac:dyDescent="0.35">
      <c r="F812" s="112"/>
    </row>
    <row r="813" spans="6:6" x14ac:dyDescent="0.35">
      <c r="F813" s="112"/>
    </row>
    <row r="814" spans="6:6" x14ac:dyDescent="0.35">
      <c r="F814" s="112"/>
    </row>
    <row r="815" spans="6:6" x14ac:dyDescent="0.35">
      <c r="F815" s="112"/>
    </row>
    <row r="816" spans="6:6" x14ac:dyDescent="0.35">
      <c r="F816" s="112"/>
    </row>
    <row r="817" spans="6:6" x14ac:dyDescent="0.35">
      <c r="F817" s="112"/>
    </row>
    <row r="818" spans="6:6" x14ac:dyDescent="0.35">
      <c r="F818" s="112"/>
    </row>
    <row r="819" spans="6:6" x14ac:dyDescent="0.35">
      <c r="F819" s="112"/>
    </row>
    <row r="820" spans="6:6" x14ac:dyDescent="0.35">
      <c r="F820" s="112"/>
    </row>
    <row r="821" spans="6:6" x14ac:dyDescent="0.35">
      <c r="F821" s="112"/>
    </row>
    <row r="822" spans="6:6" x14ac:dyDescent="0.35">
      <c r="F822" s="112"/>
    </row>
    <row r="823" spans="6:6" x14ac:dyDescent="0.35">
      <c r="F823" s="112"/>
    </row>
    <row r="824" spans="6:6" x14ac:dyDescent="0.35">
      <c r="F824" s="112"/>
    </row>
    <row r="825" spans="6:6" x14ac:dyDescent="0.35">
      <c r="F825" s="112"/>
    </row>
    <row r="826" spans="6:6" x14ac:dyDescent="0.35">
      <c r="F826" s="112"/>
    </row>
    <row r="827" spans="6:6" x14ac:dyDescent="0.35">
      <c r="F827" s="112"/>
    </row>
    <row r="828" spans="6:6" x14ac:dyDescent="0.35">
      <c r="F828" s="112"/>
    </row>
    <row r="829" spans="6:6" x14ac:dyDescent="0.35">
      <c r="F829" s="112"/>
    </row>
    <row r="830" spans="6:6" x14ac:dyDescent="0.35">
      <c r="F830" s="112"/>
    </row>
    <row r="831" spans="6:6" x14ac:dyDescent="0.35">
      <c r="F831" s="112"/>
    </row>
    <row r="832" spans="6:6" x14ac:dyDescent="0.35">
      <c r="F832" s="112"/>
    </row>
    <row r="833" spans="6:6" x14ac:dyDescent="0.35">
      <c r="F833" s="112"/>
    </row>
    <row r="834" spans="6:6" x14ac:dyDescent="0.35">
      <c r="F834" s="112"/>
    </row>
    <row r="835" spans="6:6" x14ac:dyDescent="0.35">
      <c r="F835" s="112"/>
    </row>
    <row r="836" spans="6:6" x14ac:dyDescent="0.35">
      <c r="F836" s="112"/>
    </row>
    <row r="837" spans="6:6" x14ac:dyDescent="0.35">
      <c r="F837" s="112"/>
    </row>
    <row r="838" spans="6:6" x14ac:dyDescent="0.35">
      <c r="F838" s="112"/>
    </row>
    <row r="839" spans="6:6" x14ac:dyDescent="0.35">
      <c r="F839" s="112"/>
    </row>
    <row r="840" spans="6:6" x14ac:dyDescent="0.35">
      <c r="F840" s="112"/>
    </row>
    <row r="841" spans="6:6" x14ac:dyDescent="0.35">
      <c r="F841" s="112"/>
    </row>
    <row r="842" spans="6:6" x14ac:dyDescent="0.35">
      <c r="F842" s="112"/>
    </row>
    <row r="843" spans="6:6" x14ac:dyDescent="0.35">
      <c r="F843" s="112"/>
    </row>
    <row r="844" spans="6:6" x14ac:dyDescent="0.35">
      <c r="F844" s="112"/>
    </row>
    <row r="845" spans="6:6" x14ac:dyDescent="0.35">
      <c r="F845" s="112"/>
    </row>
    <row r="846" spans="6:6" x14ac:dyDescent="0.35">
      <c r="F846" s="112"/>
    </row>
    <row r="847" spans="6:6" x14ac:dyDescent="0.35">
      <c r="F847" s="112"/>
    </row>
    <row r="848" spans="6:6" x14ac:dyDescent="0.35">
      <c r="F848" s="112"/>
    </row>
    <row r="849" spans="6:6" x14ac:dyDescent="0.35">
      <c r="F849" s="112"/>
    </row>
    <row r="850" spans="6:6" x14ac:dyDescent="0.35">
      <c r="F850" s="112"/>
    </row>
    <row r="851" spans="6:6" x14ac:dyDescent="0.35">
      <c r="F851" s="112"/>
    </row>
    <row r="852" spans="6:6" x14ac:dyDescent="0.35">
      <c r="F852" s="112"/>
    </row>
    <row r="853" spans="6:6" x14ac:dyDescent="0.35">
      <c r="F853" s="112"/>
    </row>
    <row r="854" spans="6:6" x14ac:dyDescent="0.35">
      <c r="F854" s="112"/>
    </row>
    <row r="855" spans="6:6" x14ac:dyDescent="0.35">
      <c r="F855" s="112"/>
    </row>
    <row r="856" spans="6:6" x14ac:dyDescent="0.35">
      <c r="F856" s="112"/>
    </row>
    <row r="857" spans="6:6" x14ac:dyDescent="0.35">
      <c r="F857" s="112"/>
    </row>
    <row r="858" spans="6:6" x14ac:dyDescent="0.35">
      <c r="F858" s="112"/>
    </row>
    <row r="859" spans="6:6" x14ac:dyDescent="0.35">
      <c r="F859" s="112"/>
    </row>
    <row r="860" spans="6:6" x14ac:dyDescent="0.35">
      <c r="F860" s="112"/>
    </row>
    <row r="861" spans="6:6" x14ac:dyDescent="0.35">
      <c r="F861" s="112"/>
    </row>
    <row r="862" spans="6:6" x14ac:dyDescent="0.35">
      <c r="F862" s="112"/>
    </row>
    <row r="863" spans="6:6" x14ac:dyDescent="0.35">
      <c r="F863" s="112"/>
    </row>
    <row r="864" spans="6:6" x14ac:dyDescent="0.35">
      <c r="F864" s="112"/>
    </row>
    <row r="865" spans="6:6" x14ac:dyDescent="0.35">
      <c r="F865" s="112"/>
    </row>
    <row r="866" spans="6:6" x14ac:dyDescent="0.35">
      <c r="F866" s="112"/>
    </row>
    <row r="867" spans="6:6" x14ac:dyDescent="0.35">
      <c r="F867" s="112"/>
    </row>
    <row r="868" spans="6:6" x14ac:dyDescent="0.35">
      <c r="F868" s="112"/>
    </row>
    <row r="869" spans="6:6" x14ac:dyDescent="0.35">
      <c r="F869" s="112"/>
    </row>
    <row r="870" spans="6:6" x14ac:dyDescent="0.35">
      <c r="F870" s="112"/>
    </row>
    <row r="871" spans="6:6" x14ac:dyDescent="0.35">
      <c r="F871" s="112"/>
    </row>
    <row r="872" spans="6:6" x14ac:dyDescent="0.35">
      <c r="F872" s="112"/>
    </row>
    <row r="873" spans="6:6" x14ac:dyDescent="0.35">
      <c r="F873" s="112"/>
    </row>
    <row r="874" spans="6:6" x14ac:dyDescent="0.35">
      <c r="F874" s="112"/>
    </row>
    <row r="875" spans="6:6" x14ac:dyDescent="0.35">
      <c r="F875" s="112"/>
    </row>
    <row r="876" spans="6:6" x14ac:dyDescent="0.35">
      <c r="F876" s="112"/>
    </row>
    <row r="877" spans="6:6" x14ac:dyDescent="0.35">
      <c r="F877" s="112"/>
    </row>
    <row r="878" spans="6:6" x14ac:dyDescent="0.35">
      <c r="F878" s="112"/>
    </row>
    <row r="879" spans="6:6" x14ac:dyDescent="0.35">
      <c r="F879" s="112"/>
    </row>
    <row r="880" spans="6:6" x14ac:dyDescent="0.35">
      <c r="F880" s="112"/>
    </row>
    <row r="881" spans="6:6" x14ac:dyDescent="0.35">
      <c r="F881" s="112"/>
    </row>
    <row r="882" spans="6:6" x14ac:dyDescent="0.35">
      <c r="F882" s="112"/>
    </row>
    <row r="883" spans="6:6" x14ac:dyDescent="0.35">
      <c r="F883" s="112"/>
    </row>
    <row r="884" spans="6:6" x14ac:dyDescent="0.35">
      <c r="F884" s="112"/>
    </row>
    <row r="885" spans="6:6" x14ac:dyDescent="0.35">
      <c r="F885" s="112"/>
    </row>
    <row r="886" spans="6:6" x14ac:dyDescent="0.35">
      <c r="F886" s="112"/>
    </row>
    <row r="887" spans="6:6" x14ac:dyDescent="0.35">
      <c r="F887" s="112"/>
    </row>
    <row r="888" spans="6:6" x14ac:dyDescent="0.35">
      <c r="F888" s="112"/>
    </row>
    <row r="889" spans="6:6" x14ac:dyDescent="0.35">
      <c r="F889" s="112"/>
    </row>
    <row r="890" spans="6:6" x14ac:dyDescent="0.35">
      <c r="F890" s="112"/>
    </row>
    <row r="891" spans="6:6" x14ac:dyDescent="0.35">
      <c r="F891" s="112"/>
    </row>
    <row r="892" spans="6:6" x14ac:dyDescent="0.35">
      <c r="F892" s="112"/>
    </row>
    <row r="893" spans="6:6" x14ac:dyDescent="0.35">
      <c r="F893" s="112"/>
    </row>
    <row r="894" spans="6:6" x14ac:dyDescent="0.35">
      <c r="F894" s="112"/>
    </row>
    <row r="895" spans="6:6" x14ac:dyDescent="0.35">
      <c r="F895" s="112"/>
    </row>
    <row r="896" spans="6:6" x14ac:dyDescent="0.35">
      <c r="F896" s="112"/>
    </row>
    <row r="897" spans="6:7" x14ac:dyDescent="0.35">
      <c r="F897" s="112"/>
    </row>
    <row r="898" spans="6:7" x14ac:dyDescent="0.35">
      <c r="F898" s="112"/>
    </row>
    <row r="899" spans="6:7" x14ac:dyDescent="0.35">
      <c r="F899" s="112"/>
    </row>
    <row r="900" spans="6:7" x14ac:dyDescent="0.35">
      <c r="F900" s="112"/>
    </row>
    <row r="901" spans="6:7" x14ac:dyDescent="0.35">
      <c r="F901" s="112"/>
    </row>
    <row r="902" spans="6:7" x14ac:dyDescent="0.35">
      <c r="F902" s="112"/>
    </row>
    <row r="903" spans="6:7" x14ac:dyDescent="0.35">
      <c r="F903" s="112"/>
    </row>
    <row r="904" spans="6:7" x14ac:dyDescent="0.35">
      <c r="F904" s="112"/>
    </row>
    <row r="905" spans="6:7" x14ac:dyDescent="0.35">
      <c r="F905" s="112"/>
    </row>
    <row r="906" spans="6:7" x14ac:dyDescent="0.35">
      <c r="F906" s="112"/>
    </row>
    <row r="907" spans="6:7" x14ac:dyDescent="0.35">
      <c r="F907" s="112"/>
    </row>
    <row r="908" spans="6:7" x14ac:dyDescent="0.35">
      <c r="F908" s="112"/>
    </row>
    <row r="909" spans="6:7" x14ac:dyDescent="0.35">
      <c r="F909" s="112"/>
      <c r="G909" s="107"/>
    </row>
    <row r="910" spans="6:7" x14ac:dyDescent="0.35">
      <c r="F910" s="112"/>
    </row>
    <row r="911" spans="6:7" x14ac:dyDescent="0.35">
      <c r="F911" s="112"/>
    </row>
    <row r="912" spans="6:7" x14ac:dyDescent="0.35">
      <c r="F912" s="112"/>
    </row>
    <row r="913" spans="6:6" x14ac:dyDescent="0.35">
      <c r="F913" s="112"/>
    </row>
    <row r="914" spans="6:6" x14ac:dyDescent="0.35">
      <c r="F914" s="112"/>
    </row>
    <row r="915" spans="6:6" x14ac:dyDescent="0.35">
      <c r="F915" s="112"/>
    </row>
    <row r="916" spans="6:6" x14ac:dyDescent="0.35">
      <c r="F916" s="112"/>
    </row>
    <row r="917" spans="6:6" x14ac:dyDescent="0.35">
      <c r="F917" s="112"/>
    </row>
    <row r="918" spans="6:6" x14ac:dyDescent="0.35">
      <c r="F918" s="112"/>
    </row>
    <row r="919" spans="6:6" x14ac:dyDescent="0.35">
      <c r="F919" s="112"/>
    </row>
    <row r="920" spans="6:6" x14ac:dyDescent="0.35">
      <c r="F920" s="112"/>
    </row>
    <row r="921" spans="6:6" x14ac:dyDescent="0.35">
      <c r="F921" s="112"/>
    </row>
    <row r="922" spans="6:6" x14ac:dyDescent="0.35">
      <c r="F922" s="112"/>
    </row>
    <row r="923" spans="6:6" x14ac:dyDescent="0.35">
      <c r="F923" s="112"/>
    </row>
    <row r="924" spans="6:6" x14ac:dyDescent="0.35">
      <c r="F924" s="112"/>
    </row>
    <row r="925" spans="6:6" x14ac:dyDescent="0.35">
      <c r="F925" s="112"/>
    </row>
    <row r="926" spans="6:6" x14ac:dyDescent="0.35">
      <c r="F926" s="112"/>
    </row>
    <row r="927" spans="6:6" x14ac:dyDescent="0.35">
      <c r="F927" s="112"/>
    </row>
    <row r="928" spans="6:6" x14ac:dyDescent="0.35">
      <c r="F928" s="112"/>
    </row>
    <row r="929" spans="6:6" x14ac:dyDescent="0.35">
      <c r="F929" s="112"/>
    </row>
    <row r="930" spans="6:6" x14ac:dyDescent="0.35">
      <c r="F930" s="112"/>
    </row>
    <row r="931" spans="6:6" x14ac:dyDescent="0.35">
      <c r="F931" s="112"/>
    </row>
    <row r="932" spans="6:6" x14ac:dyDescent="0.35">
      <c r="F932" s="112"/>
    </row>
    <row r="933" spans="6:6" x14ac:dyDescent="0.35">
      <c r="F933" s="112"/>
    </row>
    <row r="934" spans="6:6" x14ac:dyDescent="0.35">
      <c r="F934" s="112"/>
    </row>
    <row r="935" spans="6:6" x14ac:dyDescent="0.35">
      <c r="F935" s="112"/>
    </row>
    <row r="936" spans="6:6" x14ac:dyDescent="0.35">
      <c r="F936" s="112"/>
    </row>
    <row r="937" spans="6:6" x14ac:dyDescent="0.35">
      <c r="F937" s="112"/>
    </row>
    <row r="938" spans="6:6" x14ac:dyDescent="0.35">
      <c r="F938" s="112"/>
    </row>
    <row r="939" spans="6:6" x14ac:dyDescent="0.35">
      <c r="F939" s="112"/>
    </row>
    <row r="940" spans="6:6" x14ac:dyDescent="0.35">
      <c r="F940" s="112"/>
    </row>
    <row r="941" spans="6:6" x14ac:dyDescent="0.35">
      <c r="F941" s="112"/>
    </row>
    <row r="942" spans="6:6" x14ac:dyDescent="0.35">
      <c r="F942" s="112"/>
    </row>
    <row r="943" spans="6:6" x14ac:dyDescent="0.35">
      <c r="F943" s="112"/>
    </row>
    <row r="944" spans="6:6" x14ac:dyDescent="0.35">
      <c r="F944" s="112"/>
    </row>
    <row r="945" spans="6:7" x14ac:dyDescent="0.35">
      <c r="F945" s="112"/>
    </row>
    <row r="946" spans="6:7" x14ac:dyDescent="0.35">
      <c r="F946" s="112"/>
    </row>
    <row r="947" spans="6:7" x14ac:dyDescent="0.35">
      <c r="F947" s="112"/>
    </row>
    <row r="948" spans="6:7" x14ac:dyDescent="0.35">
      <c r="F948" s="112"/>
    </row>
    <row r="949" spans="6:7" x14ac:dyDescent="0.35">
      <c r="F949" s="112"/>
      <c r="G949" s="108"/>
    </row>
    <row r="950" spans="6:7" x14ac:dyDescent="0.35">
      <c r="F950" s="112"/>
    </row>
    <row r="951" spans="6:7" x14ac:dyDescent="0.35">
      <c r="F951" s="112"/>
    </row>
    <row r="952" spans="6:7" x14ac:dyDescent="0.35">
      <c r="F952" s="112"/>
    </row>
    <row r="953" spans="6:7" x14ac:dyDescent="0.35">
      <c r="F953" s="112"/>
    </row>
    <row r="954" spans="6:7" x14ac:dyDescent="0.35">
      <c r="F954" s="112"/>
    </row>
    <row r="955" spans="6:7" x14ac:dyDescent="0.35">
      <c r="F955" s="112"/>
    </row>
    <row r="956" spans="6:7" x14ac:dyDescent="0.35">
      <c r="F956" s="112"/>
    </row>
    <row r="957" spans="6:7" x14ac:dyDescent="0.35">
      <c r="F957" s="112"/>
    </row>
    <row r="958" spans="6:7" x14ac:dyDescent="0.35">
      <c r="F958" s="112"/>
    </row>
    <row r="959" spans="6:7" x14ac:dyDescent="0.35">
      <c r="F959" s="112"/>
    </row>
    <row r="960" spans="6:7" x14ac:dyDescent="0.35">
      <c r="F960" s="112"/>
    </row>
    <row r="961" spans="6:6" x14ac:dyDescent="0.35">
      <c r="F961" s="112"/>
    </row>
    <row r="962" spans="6:6" x14ac:dyDescent="0.35">
      <c r="F962" s="112"/>
    </row>
    <row r="963" spans="6:6" x14ac:dyDescent="0.35">
      <c r="F963" s="112"/>
    </row>
    <row r="964" spans="6:6" x14ac:dyDescent="0.35">
      <c r="F964" s="112"/>
    </row>
    <row r="965" spans="6:6" x14ac:dyDescent="0.35">
      <c r="F965" s="112"/>
    </row>
    <row r="966" spans="6:6" x14ac:dyDescent="0.35">
      <c r="F966" s="112"/>
    </row>
    <row r="967" spans="6:6" x14ac:dyDescent="0.35">
      <c r="F967" s="112"/>
    </row>
    <row r="968" spans="6:6" x14ac:dyDescent="0.35">
      <c r="F968" s="112"/>
    </row>
    <row r="969" spans="6:6" x14ac:dyDescent="0.35">
      <c r="F969" s="112"/>
    </row>
    <row r="970" spans="6:6" x14ac:dyDescent="0.35">
      <c r="F970" s="112"/>
    </row>
    <row r="971" spans="6:6" x14ac:dyDescent="0.35">
      <c r="F971" s="112"/>
    </row>
    <row r="972" spans="6:6" x14ac:dyDescent="0.35">
      <c r="F972" s="112"/>
    </row>
    <row r="973" spans="6:6" x14ac:dyDescent="0.35">
      <c r="F973" s="112"/>
    </row>
    <row r="974" spans="6:6" x14ac:dyDescent="0.35">
      <c r="F974" s="112"/>
    </row>
    <row r="975" spans="6:6" x14ac:dyDescent="0.35">
      <c r="F975" s="112"/>
    </row>
    <row r="976" spans="6:6" x14ac:dyDescent="0.35">
      <c r="F976" s="112"/>
    </row>
    <row r="977" spans="6:6" x14ac:dyDescent="0.35">
      <c r="F977" s="112"/>
    </row>
    <row r="978" spans="6:6" x14ac:dyDescent="0.35">
      <c r="F978" s="112"/>
    </row>
    <row r="979" spans="6:6" x14ac:dyDescent="0.35">
      <c r="F979" s="112"/>
    </row>
    <row r="980" spans="6:6" x14ac:dyDescent="0.35">
      <c r="F980" s="112"/>
    </row>
    <row r="981" spans="6:6" x14ac:dyDescent="0.35">
      <c r="F981" s="112"/>
    </row>
    <row r="982" spans="6:6" x14ac:dyDescent="0.35">
      <c r="F982" s="112"/>
    </row>
    <row r="983" spans="6:6" x14ac:dyDescent="0.35">
      <c r="F983" s="112"/>
    </row>
    <row r="984" spans="6:6" x14ac:dyDescent="0.35">
      <c r="F984" s="112"/>
    </row>
    <row r="985" spans="6:6" x14ac:dyDescent="0.35">
      <c r="F985" s="112"/>
    </row>
    <row r="986" spans="6:6" x14ac:dyDescent="0.35">
      <c r="F986" s="112"/>
    </row>
    <row r="987" spans="6:6" x14ac:dyDescent="0.35">
      <c r="F987" s="112"/>
    </row>
    <row r="988" spans="6:6" x14ac:dyDescent="0.35">
      <c r="F988" s="112"/>
    </row>
    <row r="989" spans="6:6" x14ac:dyDescent="0.35">
      <c r="F989" s="112"/>
    </row>
    <row r="990" spans="6:6" x14ac:dyDescent="0.35">
      <c r="F990" s="112"/>
    </row>
    <row r="991" spans="6:6" x14ac:dyDescent="0.35">
      <c r="F991" s="112"/>
    </row>
    <row r="992" spans="6:6" x14ac:dyDescent="0.35">
      <c r="F992" s="112"/>
    </row>
    <row r="993" spans="6:6" x14ac:dyDescent="0.35">
      <c r="F993" s="112"/>
    </row>
    <row r="994" spans="6:6" x14ac:dyDescent="0.35">
      <c r="F994" s="112"/>
    </row>
    <row r="995" spans="6:6" x14ac:dyDescent="0.35">
      <c r="F995" s="112"/>
    </row>
    <row r="996" spans="6:6" x14ac:dyDescent="0.35">
      <c r="F996" s="112"/>
    </row>
    <row r="997" spans="6:6" x14ac:dyDescent="0.35">
      <c r="F997" s="112"/>
    </row>
    <row r="998" spans="6:6" x14ac:dyDescent="0.35">
      <c r="F998" s="112"/>
    </row>
    <row r="999" spans="6:6" x14ac:dyDescent="0.35">
      <c r="F999" s="112"/>
    </row>
    <row r="1000" spans="6:6" x14ac:dyDescent="0.35">
      <c r="F1000" s="112"/>
    </row>
    <row r="1001" spans="6:6" x14ac:dyDescent="0.35">
      <c r="F1001" s="112"/>
    </row>
    <row r="1002" spans="6:6" x14ac:dyDescent="0.35">
      <c r="F1002" s="112"/>
    </row>
    <row r="1003" spans="6:6" x14ac:dyDescent="0.35">
      <c r="F1003" s="112"/>
    </row>
    <row r="1004" spans="6:6" x14ac:dyDescent="0.35">
      <c r="F1004" s="112"/>
    </row>
    <row r="1005" spans="6:6" x14ac:dyDescent="0.35">
      <c r="F1005" s="112"/>
    </row>
    <row r="1006" spans="6:6" x14ac:dyDescent="0.35">
      <c r="F1006" s="112"/>
    </row>
    <row r="1007" spans="6:6" x14ac:dyDescent="0.35">
      <c r="F1007" s="112"/>
    </row>
    <row r="1008" spans="6:6" x14ac:dyDescent="0.35">
      <c r="F1008" s="112"/>
    </row>
    <row r="1009" spans="6:6" x14ac:dyDescent="0.35">
      <c r="F1009" s="112"/>
    </row>
    <row r="1010" spans="6:6" x14ac:dyDescent="0.35">
      <c r="F1010" s="112"/>
    </row>
    <row r="1011" spans="6:6" x14ac:dyDescent="0.35">
      <c r="F1011" s="112"/>
    </row>
    <row r="1012" spans="6:6" x14ac:dyDescent="0.35">
      <c r="F1012" s="112"/>
    </row>
    <row r="1013" spans="6:6" x14ac:dyDescent="0.35">
      <c r="F1013" s="112"/>
    </row>
    <row r="1014" spans="6:6" x14ac:dyDescent="0.35">
      <c r="F1014" s="112"/>
    </row>
    <row r="1015" spans="6:6" x14ac:dyDescent="0.35">
      <c r="F1015" s="112"/>
    </row>
    <row r="1016" spans="6:6" x14ac:dyDescent="0.35">
      <c r="F1016" s="112"/>
    </row>
    <row r="1017" spans="6:6" x14ac:dyDescent="0.35">
      <c r="F1017" s="112"/>
    </row>
    <row r="1018" spans="6:6" x14ac:dyDescent="0.35">
      <c r="F1018" s="112"/>
    </row>
    <row r="1019" spans="6:6" x14ac:dyDescent="0.35">
      <c r="F1019" s="112"/>
    </row>
    <row r="1020" spans="6:6" x14ac:dyDescent="0.35">
      <c r="F1020" s="112"/>
    </row>
    <row r="1021" spans="6:6" x14ac:dyDescent="0.35">
      <c r="F1021" s="112"/>
    </row>
    <row r="1022" spans="6:6" x14ac:dyDescent="0.35">
      <c r="F1022" s="112"/>
    </row>
    <row r="1023" spans="6:6" x14ac:dyDescent="0.35">
      <c r="F1023" s="112"/>
    </row>
    <row r="1024" spans="6:6" x14ac:dyDescent="0.35">
      <c r="F1024" s="112"/>
    </row>
    <row r="1025" spans="6:6" x14ac:dyDescent="0.35">
      <c r="F1025" s="112"/>
    </row>
    <row r="1026" spans="6:6" x14ac:dyDescent="0.35">
      <c r="F1026" s="112"/>
    </row>
    <row r="1027" spans="6:6" x14ac:dyDescent="0.35">
      <c r="F1027" s="112"/>
    </row>
    <row r="1028" spans="6:6" x14ac:dyDescent="0.35">
      <c r="F1028" s="112"/>
    </row>
    <row r="1029" spans="6:6" x14ac:dyDescent="0.35">
      <c r="F1029" s="112"/>
    </row>
    <row r="1030" spans="6:6" x14ac:dyDescent="0.35">
      <c r="F1030" s="112"/>
    </row>
    <row r="1031" spans="6:6" x14ac:dyDescent="0.35">
      <c r="F1031" s="112"/>
    </row>
    <row r="1032" spans="6:6" x14ac:dyDescent="0.35">
      <c r="F1032" s="112"/>
    </row>
    <row r="1033" spans="6:6" x14ac:dyDescent="0.35">
      <c r="F1033" s="112"/>
    </row>
    <row r="1034" spans="6:6" x14ac:dyDescent="0.35">
      <c r="F1034" s="112"/>
    </row>
    <row r="1035" spans="6:6" x14ac:dyDescent="0.35">
      <c r="F1035" s="112"/>
    </row>
    <row r="1036" spans="6:6" x14ac:dyDescent="0.35">
      <c r="F1036" s="112"/>
    </row>
    <row r="1037" spans="6:6" x14ac:dyDescent="0.35">
      <c r="F1037" s="112"/>
    </row>
    <row r="1038" spans="6:6" x14ac:dyDescent="0.35">
      <c r="F1038" s="112"/>
    </row>
    <row r="1039" spans="6:6" x14ac:dyDescent="0.35">
      <c r="F1039" s="112"/>
    </row>
    <row r="1040" spans="6:6" x14ac:dyDescent="0.35">
      <c r="F1040" s="112"/>
    </row>
    <row r="1041" spans="6:6" x14ac:dyDescent="0.35">
      <c r="F1041" s="112"/>
    </row>
    <row r="1042" spans="6:6" x14ac:dyDescent="0.35">
      <c r="F1042" s="112"/>
    </row>
    <row r="1043" spans="6:6" x14ac:dyDescent="0.35">
      <c r="F1043" s="112"/>
    </row>
    <row r="1044" spans="6:6" x14ac:dyDescent="0.35">
      <c r="F1044" s="112"/>
    </row>
    <row r="1045" spans="6:6" x14ac:dyDescent="0.35">
      <c r="F1045" s="112"/>
    </row>
    <row r="1046" spans="6:6" x14ac:dyDescent="0.35">
      <c r="F1046" s="112"/>
    </row>
    <row r="1047" spans="6:6" x14ac:dyDescent="0.35">
      <c r="F1047" s="112"/>
    </row>
    <row r="1048" spans="6:6" x14ac:dyDescent="0.35">
      <c r="F1048" s="112"/>
    </row>
    <row r="1049" spans="6:6" x14ac:dyDescent="0.35">
      <c r="F1049" s="112"/>
    </row>
    <row r="1050" spans="6:6" x14ac:dyDescent="0.35">
      <c r="F1050" s="112"/>
    </row>
    <row r="1051" spans="6:6" x14ac:dyDescent="0.35">
      <c r="F1051" s="112"/>
    </row>
    <row r="1052" spans="6:6" x14ac:dyDescent="0.35">
      <c r="F1052" s="112"/>
    </row>
    <row r="1053" spans="6:6" x14ac:dyDescent="0.35">
      <c r="F1053" s="112"/>
    </row>
    <row r="1054" spans="6:6" x14ac:dyDescent="0.35">
      <c r="F1054" s="112"/>
    </row>
    <row r="1055" spans="6:6" x14ac:dyDescent="0.35">
      <c r="F1055" s="112"/>
    </row>
    <row r="1056" spans="6:6" x14ac:dyDescent="0.35">
      <c r="F1056" s="112"/>
    </row>
    <row r="1057" spans="6:6" x14ac:dyDescent="0.35">
      <c r="F1057" s="112"/>
    </row>
    <row r="1058" spans="6:6" x14ac:dyDescent="0.35">
      <c r="F1058" s="112"/>
    </row>
    <row r="1059" spans="6:6" x14ac:dyDescent="0.35">
      <c r="F1059" s="112"/>
    </row>
    <row r="1060" spans="6:6" x14ac:dyDescent="0.35">
      <c r="F1060" s="112"/>
    </row>
    <row r="1061" spans="6:6" x14ac:dyDescent="0.35">
      <c r="F1061" s="112"/>
    </row>
    <row r="1062" spans="6:6" x14ac:dyDescent="0.35">
      <c r="F1062" s="112"/>
    </row>
    <row r="1063" spans="6:6" x14ac:dyDescent="0.35">
      <c r="F1063" s="112"/>
    </row>
    <row r="1064" spans="6:6" x14ac:dyDescent="0.35">
      <c r="F1064" s="112"/>
    </row>
    <row r="1065" spans="6:6" x14ac:dyDescent="0.35">
      <c r="F1065" s="112"/>
    </row>
    <row r="1066" spans="6:6" x14ac:dyDescent="0.35">
      <c r="F1066" s="112"/>
    </row>
    <row r="1067" spans="6:6" x14ac:dyDescent="0.35">
      <c r="F1067" s="112"/>
    </row>
    <row r="1068" spans="6:6" x14ac:dyDescent="0.35">
      <c r="F1068" s="112"/>
    </row>
    <row r="1069" spans="6:6" x14ac:dyDescent="0.35">
      <c r="F1069" s="112"/>
    </row>
    <row r="1070" spans="6:6" x14ac:dyDescent="0.35">
      <c r="F1070" s="112"/>
    </row>
    <row r="1071" spans="6:6" x14ac:dyDescent="0.35">
      <c r="F1071" s="112"/>
    </row>
    <row r="1072" spans="6:6" x14ac:dyDescent="0.35">
      <c r="F1072" s="112"/>
    </row>
    <row r="1073" spans="6:6" x14ac:dyDescent="0.35">
      <c r="F1073" s="112"/>
    </row>
    <row r="1074" spans="6:6" x14ac:dyDescent="0.35">
      <c r="F1074" s="112"/>
    </row>
    <row r="1075" spans="6:6" x14ac:dyDescent="0.35">
      <c r="F1075" s="112"/>
    </row>
    <row r="1076" spans="6:6" x14ac:dyDescent="0.35">
      <c r="F1076" s="112"/>
    </row>
    <row r="1077" spans="6:6" x14ac:dyDescent="0.35">
      <c r="F1077" s="112"/>
    </row>
    <row r="1078" spans="6:6" x14ac:dyDescent="0.35">
      <c r="F1078" s="112"/>
    </row>
    <row r="1079" spans="6:6" x14ac:dyDescent="0.35">
      <c r="F1079" s="112"/>
    </row>
    <row r="1080" spans="6:6" x14ac:dyDescent="0.35">
      <c r="F1080" s="112"/>
    </row>
    <row r="1081" spans="6:6" x14ac:dyDescent="0.35">
      <c r="F1081" s="112"/>
    </row>
    <row r="1082" spans="6:6" x14ac:dyDescent="0.35">
      <c r="F1082" s="112"/>
    </row>
    <row r="1083" spans="6:6" x14ac:dyDescent="0.35">
      <c r="F1083" s="112"/>
    </row>
    <row r="1084" spans="6:6" x14ac:dyDescent="0.35">
      <c r="F1084" s="112"/>
    </row>
    <row r="1085" spans="6:6" x14ac:dyDescent="0.35">
      <c r="F1085" s="112"/>
    </row>
    <row r="1086" spans="6:6" x14ac:dyDescent="0.35">
      <c r="F1086" s="112"/>
    </row>
    <row r="1087" spans="6:6" x14ac:dyDescent="0.35">
      <c r="F1087" s="112"/>
    </row>
    <row r="1088" spans="6:6" x14ac:dyDescent="0.35">
      <c r="F1088" s="112"/>
    </row>
    <row r="1089" spans="6:6" x14ac:dyDescent="0.35">
      <c r="F1089" s="112"/>
    </row>
    <row r="1090" spans="6:6" x14ac:dyDescent="0.35">
      <c r="F1090" s="112"/>
    </row>
    <row r="1091" spans="6:6" x14ac:dyDescent="0.35">
      <c r="F1091" s="112"/>
    </row>
    <row r="1092" spans="6:6" x14ac:dyDescent="0.35">
      <c r="F1092" s="112"/>
    </row>
    <row r="1093" spans="6:6" x14ac:dyDescent="0.35">
      <c r="F1093" s="112"/>
    </row>
    <row r="1094" spans="6:6" x14ac:dyDescent="0.35">
      <c r="F1094" s="112"/>
    </row>
    <row r="1095" spans="6:6" x14ac:dyDescent="0.35">
      <c r="F1095" s="112"/>
    </row>
    <row r="1096" spans="6:6" x14ac:dyDescent="0.35">
      <c r="F1096" s="112"/>
    </row>
    <row r="1097" spans="6:6" x14ac:dyDescent="0.35">
      <c r="F1097" s="112"/>
    </row>
    <row r="1098" spans="6:6" x14ac:dyDescent="0.35">
      <c r="F1098" s="112"/>
    </row>
    <row r="1099" spans="6:6" x14ac:dyDescent="0.35">
      <c r="F1099" s="112"/>
    </row>
    <row r="1100" spans="6:6" x14ac:dyDescent="0.35">
      <c r="F1100" s="112"/>
    </row>
    <row r="1101" spans="6:6" x14ac:dyDescent="0.35">
      <c r="F1101" s="112"/>
    </row>
    <row r="1102" spans="6:6" x14ac:dyDescent="0.35">
      <c r="F1102" s="112"/>
    </row>
    <row r="1103" spans="6:6" x14ac:dyDescent="0.35">
      <c r="F1103" s="112"/>
    </row>
    <row r="1104" spans="6:6" x14ac:dyDescent="0.35">
      <c r="F1104" s="112"/>
    </row>
    <row r="1105" spans="6:6" x14ac:dyDescent="0.35">
      <c r="F1105" s="112"/>
    </row>
    <row r="1106" spans="6:6" x14ac:dyDescent="0.35">
      <c r="F1106" s="112"/>
    </row>
    <row r="1107" spans="6:6" x14ac:dyDescent="0.35">
      <c r="F1107" s="112"/>
    </row>
    <row r="1108" spans="6:6" x14ac:dyDescent="0.35">
      <c r="F1108" s="112"/>
    </row>
    <row r="1109" spans="6:6" x14ac:dyDescent="0.35">
      <c r="F1109" s="112"/>
    </row>
    <row r="1110" spans="6:6" x14ac:dyDescent="0.35">
      <c r="F1110" s="112"/>
    </row>
    <row r="1111" spans="6:6" x14ac:dyDescent="0.35">
      <c r="F1111" s="112"/>
    </row>
    <row r="1112" spans="6:6" x14ac:dyDescent="0.35">
      <c r="F1112" s="112"/>
    </row>
    <row r="1113" spans="6:6" x14ac:dyDescent="0.35">
      <c r="F1113" s="112"/>
    </row>
    <row r="1114" spans="6:6" x14ac:dyDescent="0.35">
      <c r="F1114" s="112"/>
    </row>
    <row r="1115" spans="6:6" x14ac:dyDescent="0.35">
      <c r="F1115" s="112"/>
    </row>
    <row r="1116" spans="6:6" x14ac:dyDescent="0.35">
      <c r="F1116" s="112"/>
    </row>
    <row r="1117" spans="6:6" x14ac:dyDescent="0.35">
      <c r="F1117" s="112"/>
    </row>
    <row r="1118" spans="6:6" x14ac:dyDescent="0.35">
      <c r="F1118" s="112"/>
    </row>
    <row r="1119" spans="6:6" x14ac:dyDescent="0.35">
      <c r="F1119" s="112"/>
    </row>
    <row r="1120" spans="6:6" x14ac:dyDescent="0.35">
      <c r="F1120" s="112"/>
    </row>
    <row r="1121" spans="6:6" x14ac:dyDescent="0.35">
      <c r="F1121" s="112"/>
    </row>
    <row r="1122" spans="6:6" x14ac:dyDescent="0.35">
      <c r="F1122" s="112"/>
    </row>
    <row r="1123" spans="6:6" x14ac:dyDescent="0.35">
      <c r="F1123" s="112"/>
    </row>
    <row r="1124" spans="6:6" x14ac:dyDescent="0.35">
      <c r="F1124" s="112"/>
    </row>
    <row r="1125" spans="6:6" x14ac:dyDescent="0.35">
      <c r="F1125" s="112"/>
    </row>
    <row r="1126" spans="6:6" x14ac:dyDescent="0.35">
      <c r="F1126" s="112"/>
    </row>
    <row r="1127" spans="6:6" x14ac:dyDescent="0.35">
      <c r="F1127" s="112"/>
    </row>
    <row r="1128" spans="6:6" x14ac:dyDescent="0.35">
      <c r="F1128" s="112"/>
    </row>
    <row r="1129" spans="6:6" x14ac:dyDescent="0.35">
      <c r="F1129" s="112"/>
    </row>
    <row r="1130" spans="6:6" x14ac:dyDescent="0.35">
      <c r="F1130" s="112"/>
    </row>
    <row r="1131" spans="6:6" x14ac:dyDescent="0.35">
      <c r="F1131" s="112"/>
    </row>
    <row r="1132" spans="6:6" x14ac:dyDescent="0.35">
      <c r="F1132" s="112"/>
    </row>
    <row r="1133" spans="6:6" x14ac:dyDescent="0.35">
      <c r="F1133" s="112"/>
    </row>
    <row r="1134" spans="6:6" x14ac:dyDescent="0.35">
      <c r="F1134" s="112"/>
    </row>
    <row r="1135" spans="6:6" x14ac:dyDescent="0.35">
      <c r="F1135" s="112"/>
    </row>
    <row r="1136" spans="6:6" x14ac:dyDescent="0.35">
      <c r="F1136" s="112"/>
    </row>
    <row r="1137" spans="6:6" x14ac:dyDescent="0.35">
      <c r="F1137" s="112"/>
    </row>
    <row r="1138" spans="6:6" x14ac:dyDescent="0.35">
      <c r="F1138" s="112"/>
    </row>
    <row r="1139" spans="6:6" x14ac:dyDescent="0.35">
      <c r="F1139" s="112"/>
    </row>
    <row r="1140" spans="6:6" x14ac:dyDescent="0.35">
      <c r="F1140" s="112"/>
    </row>
    <row r="1141" spans="6:6" x14ac:dyDescent="0.35">
      <c r="F1141" s="112"/>
    </row>
    <row r="1142" spans="6:6" x14ac:dyDescent="0.35">
      <c r="F1142" s="112"/>
    </row>
    <row r="1143" spans="6:6" x14ac:dyDescent="0.35">
      <c r="F1143" s="112"/>
    </row>
    <row r="1144" spans="6:6" x14ac:dyDescent="0.35">
      <c r="F1144" s="112"/>
    </row>
    <row r="1145" spans="6:6" x14ac:dyDescent="0.35">
      <c r="F1145" s="112"/>
    </row>
    <row r="1146" spans="6:6" x14ac:dyDescent="0.35">
      <c r="F1146" s="112"/>
    </row>
    <row r="1147" spans="6:6" x14ac:dyDescent="0.35">
      <c r="F1147" s="112"/>
    </row>
    <row r="1148" spans="6:6" x14ac:dyDescent="0.35">
      <c r="F1148" s="112"/>
    </row>
    <row r="1149" spans="6:6" x14ac:dyDescent="0.35">
      <c r="F1149" s="112"/>
    </row>
    <row r="1150" spans="6:6" x14ac:dyDescent="0.35">
      <c r="F1150" s="112"/>
    </row>
    <row r="1151" spans="6:6" x14ac:dyDescent="0.35">
      <c r="F1151" s="112"/>
    </row>
    <row r="1152" spans="6:6" x14ac:dyDescent="0.35">
      <c r="F1152" s="112"/>
    </row>
    <row r="1153" spans="6:6" x14ac:dyDescent="0.35">
      <c r="F1153" s="112"/>
    </row>
    <row r="1154" spans="6:6" x14ac:dyDescent="0.35">
      <c r="F1154" s="112"/>
    </row>
    <row r="1155" spans="6:6" x14ac:dyDescent="0.35">
      <c r="F1155" s="112"/>
    </row>
    <row r="1156" spans="6:6" x14ac:dyDescent="0.35">
      <c r="F1156" s="112"/>
    </row>
    <row r="1157" spans="6:6" x14ac:dyDescent="0.35">
      <c r="F1157" s="112"/>
    </row>
    <row r="1158" spans="6:6" x14ac:dyDescent="0.35">
      <c r="F1158" s="112"/>
    </row>
    <row r="1159" spans="6:6" x14ac:dyDescent="0.35">
      <c r="F1159" s="112"/>
    </row>
    <row r="1160" spans="6:6" x14ac:dyDescent="0.35">
      <c r="F1160" s="112"/>
    </row>
    <row r="1161" spans="6:6" x14ac:dyDescent="0.35">
      <c r="F1161" s="112"/>
    </row>
    <row r="1162" spans="6:6" x14ac:dyDescent="0.35">
      <c r="F1162" s="112"/>
    </row>
    <row r="1163" spans="6:6" x14ac:dyDescent="0.35">
      <c r="F1163" s="112"/>
    </row>
    <row r="1164" spans="6:6" x14ac:dyDescent="0.35">
      <c r="F1164" s="112"/>
    </row>
    <row r="1165" spans="6:6" x14ac:dyDescent="0.35">
      <c r="F1165" s="112"/>
    </row>
    <row r="1166" spans="6:6" x14ac:dyDescent="0.35">
      <c r="F1166" s="112"/>
    </row>
    <row r="1167" spans="6:6" x14ac:dyDescent="0.35">
      <c r="F1167" s="112"/>
    </row>
    <row r="1168" spans="6:6" x14ac:dyDescent="0.35">
      <c r="F1168" s="112"/>
    </row>
    <row r="1169" spans="6:6" x14ac:dyDescent="0.35">
      <c r="F1169" s="112"/>
    </row>
    <row r="1170" spans="6:6" x14ac:dyDescent="0.35">
      <c r="F1170" s="112"/>
    </row>
    <row r="1171" spans="6:6" x14ac:dyDescent="0.35">
      <c r="F1171" s="112"/>
    </row>
    <row r="1172" spans="6:6" x14ac:dyDescent="0.35">
      <c r="F1172" s="112"/>
    </row>
    <row r="1173" spans="6:6" x14ac:dyDescent="0.35">
      <c r="F1173" s="112"/>
    </row>
    <row r="1174" spans="6:6" x14ac:dyDescent="0.35">
      <c r="F1174" s="112"/>
    </row>
    <row r="1175" spans="6:6" x14ac:dyDescent="0.35">
      <c r="F1175" s="112"/>
    </row>
    <row r="1176" spans="6:6" x14ac:dyDescent="0.35">
      <c r="F1176" s="112"/>
    </row>
    <row r="1177" spans="6:6" x14ac:dyDescent="0.35">
      <c r="F1177" s="112"/>
    </row>
    <row r="1178" spans="6:6" x14ac:dyDescent="0.35">
      <c r="F1178" s="112"/>
    </row>
    <row r="1179" spans="6:6" x14ac:dyDescent="0.35">
      <c r="F1179" s="112"/>
    </row>
    <row r="1180" spans="6:6" x14ac:dyDescent="0.35">
      <c r="F1180" s="112"/>
    </row>
    <row r="1181" spans="6:6" x14ac:dyDescent="0.35">
      <c r="F1181" s="112"/>
    </row>
    <row r="1182" spans="6:6" x14ac:dyDescent="0.35">
      <c r="F1182" s="112"/>
    </row>
    <row r="1183" spans="6:6" x14ac:dyDescent="0.35">
      <c r="F1183" s="112"/>
    </row>
    <row r="1184" spans="6:6" x14ac:dyDescent="0.35">
      <c r="F1184" s="112"/>
    </row>
    <row r="1185" spans="6:6" x14ac:dyDescent="0.35">
      <c r="F1185" s="112"/>
    </row>
    <row r="1186" spans="6:6" x14ac:dyDescent="0.35">
      <c r="F1186" s="112"/>
    </row>
    <row r="1187" spans="6:6" x14ac:dyDescent="0.35">
      <c r="F1187" s="112"/>
    </row>
    <row r="1188" spans="6:6" x14ac:dyDescent="0.35">
      <c r="F1188" s="112"/>
    </row>
    <row r="1189" spans="6:6" x14ac:dyDescent="0.35">
      <c r="F1189" s="112"/>
    </row>
    <row r="1190" spans="6:6" x14ac:dyDescent="0.35">
      <c r="F1190" s="112"/>
    </row>
    <row r="1191" spans="6:6" x14ac:dyDescent="0.35">
      <c r="F1191" s="112"/>
    </row>
    <row r="1192" spans="6:6" x14ac:dyDescent="0.35">
      <c r="F1192" s="112"/>
    </row>
    <row r="1193" spans="6:6" x14ac:dyDescent="0.35">
      <c r="F1193" s="112"/>
    </row>
    <row r="1194" spans="6:6" x14ac:dyDescent="0.35">
      <c r="F1194" s="112"/>
    </row>
    <row r="1195" spans="6:6" x14ac:dyDescent="0.35">
      <c r="F1195" s="112"/>
    </row>
    <row r="1196" spans="6:6" x14ac:dyDescent="0.35">
      <c r="F1196" s="112"/>
    </row>
    <row r="1197" spans="6:6" x14ac:dyDescent="0.35">
      <c r="F1197" s="112"/>
    </row>
    <row r="1198" spans="6:6" x14ac:dyDescent="0.35">
      <c r="F1198" s="112"/>
    </row>
    <row r="1199" spans="6:6" x14ac:dyDescent="0.35">
      <c r="F1199" s="112"/>
    </row>
    <row r="1200" spans="6:6" x14ac:dyDescent="0.35">
      <c r="F1200" s="112"/>
    </row>
    <row r="1201" spans="6:6" x14ac:dyDescent="0.35">
      <c r="F1201" s="112"/>
    </row>
    <row r="1202" spans="6:6" x14ac:dyDescent="0.35">
      <c r="F1202" s="112"/>
    </row>
    <row r="1203" spans="6:6" x14ac:dyDescent="0.35">
      <c r="F1203" s="112"/>
    </row>
    <row r="1204" spans="6:6" x14ac:dyDescent="0.35">
      <c r="F1204" s="112"/>
    </row>
    <row r="1205" spans="6:6" x14ac:dyDescent="0.35">
      <c r="F1205" s="112"/>
    </row>
    <row r="1206" spans="6:6" x14ac:dyDescent="0.35">
      <c r="F1206" s="112"/>
    </row>
    <row r="1207" spans="6:6" x14ac:dyDescent="0.35">
      <c r="F1207" s="112"/>
    </row>
    <row r="1208" spans="6:6" x14ac:dyDescent="0.35">
      <c r="F1208" s="112"/>
    </row>
    <row r="1209" spans="6:6" x14ac:dyDescent="0.35">
      <c r="F1209" s="112"/>
    </row>
    <row r="1210" spans="6:6" x14ac:dyDescent="0.35">
      <c r="F1210" s="112"/>
    </row>
    <row r="1211" spans="6:6" x14ac:dyDescent="0.35">
      <c r="F1211" s="112"/>
    </row>
    <row r="1212" spans="6:6" x14ac:dyDescent="0.35">
      <c r="F1212" s="112"/>
    </row>
    <row r="1213" spans="6:6" x14ac:dyDescent="0.35">
      <c r="F1213" s="112"/>
    </row>
    <row r="1214" spans="6:6" x14ac:dyDescent="0.35">
      <c r="F1214" s="112"/>
    </row>
    <row r="1215" spans="6:6" x14ac:dyDescent="0.35">
      <c r="F1215" s="112"/>
    </row>
    <row r="1216" spans="6:6" x14ac:dyDescent="0.35">
      <c r="F1216" s="112"/>
    </row>
    <row r="1217" spans="6:6" x14ac:dyDescent="0.35">
      <c r="F1217" s="112"/>
    </row>
    <row r="1218" spans="6:6" x14ac:dyDescent="0.35">
      <c r="F1218" s="112"/>
    </row>
    <row r="1219" spans="6:6" x14ac:dyDescent="0.35">
      <c r="F1219" s="112"/>
    </row>
    <row r="1220" spans="6:6" x14ac:dyDescent="0.35">
      <c r="F1220" s="112"/>
    </row>
    <row r="1221" spans="6:6" x14ac:dyDescent="0.35">
      <c r="F1221" s="112"/>
    </row>
    <row r="1222" spans="6:6" x14ac:dyDescent="0.35">
      <c r="F1222" s="112"/>
    </row>
    <row r="1223" spans="6:6" x14ac:dyDescent="0.35">
      <c r="F1223" s="112"/>
    </row>
    <row r="1224" spans="6:6" x14ac:dyDescent="0.35">
      <c r="F1224" s="112"/>
    </row>
    <row r="1225" spans="6:6" x14ac:dyDescent="0.35">
      <c r="F1225" s="112"/>
    </row>
    <row r="1226" spans="6:6" x14ac:dyDescent="0.35">
      <c r="F1226" s="112"/>
    </row>
    <row r="1227" spans="6:6" x14ac:dyDescent="0.35">
      <c r="F1227" s="112"/>
    </row>
    <row r="1228" spans="6:6" x14ac:dyDescent="0.35">
      <c r="F1228" s="112"/>
    </row>
    <row r="1229" spans="6:6" x14ac:dyDescent="0.35">
      <c r="F1229" s="112"/>
    </row>
    <row r="1230" spans="6:6" x14ac:dyDescent="0.35">
      <c r="F1230" s="112"/>
    </row>
    <row r="1231" spans="6:6" x14ac:dyDescent="0.35">
      <c r="F1231" s="112"/>
    </row>
    <row r="1232" spans="6:6" x14ac:dyDescent="0.35">
      <c r="F1232" s="112"/>
    </row>
    <row r="1233" spans="6:6" x14ac:dyDescent="0.35">
      <c r="F1233" s="112"/>
    </row>
    <row r="1234" spans="6:6" x14ac:dyDescent="0.35">
      <c r="F1234" s="112"/>
    </row>
    <row r="1235" spans="6:6" x14ac:dyDescent="0.35">
      <c r="F1235" s="112"/>
    </row>
    <row r="1236" spans="6:6" x14ac:dyDescent="0.35">
      <c r="F1236" s="112"/>
    </row>
    <row r="1237" spans="6:6" x14ac:dyDescent="0.35">
      <c r="F1237" s="112"/>
    </row>
    <row r="1238" spans="6:6" x14ac:dyDescent="0.35">
      <c r="F1238" s="112"/>
    </row>
    <row r="1239" spans="6:6" x14ac:dyDescent="0.35">
      <c r="F1239" s="112"/>
    </row>
    <row r="1240" spans="6:6" x14ac:dyDescent="0.35">
      <c r="F1240" s="112"/>
    </row>
    <row r="1241" spans="6:6" x14ac:dyDescent="0.35">
      <c r="F1241" s="112"/>
    </row>
    <row r="1242" spans="6:6" x14ac:dyDescent="0.35">
      <c r="F1242" s="112"/>
    </row>
    <row r="1243" spans="6:6" x14ac:dyDescent="0.35">
      <c r="F1243" s="112"/>
    </row>
    <row r="1244" spans="6:6" x14ac:dyDescent="0.35">
      <c r="F1244" s="112"/>
    </row>
    <row r="1245" spans="6:6" x14ac:dyDescent="0.35">
      <c r="F1245" s="112"/>
    </row>
    <row r="1246" spans="6:6" x14ac:dyDescent="0.35">
      <c r="F1246" s="112"/>
    </row>
    <row r="1247" spans="6:6" x14ac:dyDescent="0.35">
      <c r="F1247" s="112"/>
    </row>
    <row r="1248" spans="6:6" x14ac:dyDescent="0.35">
      <c r="F1248" s="112"/>
    </row>
    <row r="1249" spans="6:6" x14ac:dyDescent="0.35">
      <c r="F1249" s="112"/>
    </row>
    <row r="1250" spans="6:6" x14ac:dyDescent="0.35">
      <c r="F1250" s="112"/>
    </row>
    <row r="1251" spans="6:6" x14ac:dyDescent="0.35">
      <c r="F1251" s="112"/>
    </row>
    <row r="1252" spans="6:6" x14ac:dyDescent="0.35">
      <c r="F1252" s="112"/>
    </row>
    <row r="1253" spans="6:6" x14ac:dyDescent="0.35">
      <c r="F1253" s="112"/>
    </row>
    <row r="1254" spans="6:6" x14ac:dyDescent="0.35">
      <c r="F1254" s="112"/>
    </row>
    <row r="1255" spans="6:6" x14ac:dyDescent="0.35">
      <c r="F1255" s="112"/>
    </row>
    <row r="1256" spans="6:6" x14ac:dyDescent="0.35">
      <c r="F1256" s="112"/>
    </row>
    <row r="1257" spans="6:6" x14ac:dyDescent="0.35">
      <c r="F1257" s="112"/>
    </row>
    <row r="1258" spans="6:6" x14ac:dyDescent="0.35">
      <c r="F1258" s="112"/>
    </row>
    <row r="1259" spans="6:6" x14ac:dyDescent="0.35">
      <c r="F1259" s="112"/>
    </row>
    <row r="1260" spans="6:6" x14ac:dyDescent="0.35">
      <c r="F1260" s="112"/>
    </row>
    <row r="1261" spans="6:6" x14ac:dyDescent="0.35">
      <c r="F1261" s="112"/>
    </row>
    <row r="1262" spans="6:6" x14ac:dyDescent="0.35">
      <c r="F1262" s="112"/>
    </row>
    <row r="1263" spans="6:6" x14ac:dyDescent="0.35">
      <c r="F1263" s="112"/>
    </row>
    <row r="1264" spans="6:6" x14ac:dyDescent="0.35">
      <c r="F1264" s="112"/>
    </row>
    <row r="1265" spans="6:6" x14ac:dyDescent="0.35">
      <c r="F1265" s="112"/>
    </row>
    <row r="1266" spans="6:6" x14ac:dyDescent="0.35">
      <c r="F1266" s="112"/>
    </row>
    <row r="1267" spans="6:6" x14ac:dyDescent="0.35">
      <c r="F1267" s="112"/>
    </row>
    <row r="1268" spans="6:6" x14ac:dyDescent="0.35">
      <c r="F1268" s="112"/>
    </row>
    <row r="1269" spans="6:6" x14ac:dyDescent="0.35">
      <c r="F1269" s="112"/>
    </row>
    <row r="1270" spans="6:6" x14ac:dyDescent="0.35">
      <c r="F1270" s="112"/>
    </row>
    <row r="1271" spans="6:6" x14ac:dyDescent="0.35">
      <c r="F1271" s="112"/>
    </row>
    <row r="1272" spans="6:6" x14ac:dyDescent="0.35">
      <c r="F1272" s="112"/>
    </row>
    <row r="1273" spans="6:6" x14ac:dyDescent="0.35">
      <c r="F1273" s="112"/>
    </row>
    <row r="1274" spans="6:6" x14ac:dyDescent="0.35">
      <c r="F1274" s="112"/>
    </row>
    <row r="1275" spans="6:6" x14ac:dyDescent="0.35">
      <c r="F1275" s="112"/>
    </row>
    <row r="1276" spans="6:6" x14ac:dyDescent="0.35">
      <c r="F1276" s="112"/>
    </row>
    <row r="1277" spans="6:6" x14ac:dyDescent="0.35">
      <c r="F1277" s="112"/>
    </row>
    <row r="1278" spans="6:6" x14ac:dyDescent="0.35">
      <c r="F1278" s="112"/>
    </row>
    <row r="1279" spans="6:6" x14ac:dyDescent="0.35">
      <c r="F1279" s="112"/>
    </row>
    <row r="1280" spans="6:6" x14ac:dyDescent="0.35">
      <c r="F1280" s="112"/>
    </row>
    <row r="1281" spans="6:6" x14ac:dyDescent="0.35">
      <c r="F1281" s="112"/>
    </row>
    <row r="1282" spans="6:6" x14ac:dyDescent="0.35">
      <c r="F1282" s="112"/>
    </row>
    <row r="1283" spans="6:6" x14ac:dyDescent="0.35">
      <c r="F1283" s="112"/>
    </row>
    <row r="1284" spans="6:6" x14ac:dyDescent="0.35">
      <c r="F1284" s="112"/>
    </row>
    <row r="1285" spans="6:6" x14ac:dyDescent="0.35">
      <c r="F1285" s="112"/>
    </row>
    <row r="1286" spans="6:6" x14ac:dyDescent="0.35">
      <c r="F1286" s="112"/>
    </row>
    <row r="1287" spans="6:6" x14ac:dyDescent="0.35">
      <c r="F1287" s="112"/>
    </row>
    <row r="1288" spans="6:6" x14ac:dyDescent="0.35">
      <c r="F1288" s="112"/>
    </row>
    <row r="1289" spans="6:6" x14ac:dyDescent="0.35">
      <c r="F1289" s="112"/>
    </row>
    <row r="1290" spans="6:6" x14ac:dyDescent="0.35">
      <c r="F1290" s="112"/>
    </row>
    <row r="1291" spans="6:6" x14ac:dyDescent="0.35">
      <c r="F1291" s="112"/>
    </row>
    <row r="1292" spans="6:6" x14ac:dyDescent="0.35">
      <c r="F1292" s="112"/>
    </row>
    <row r="1293" spans="6:6" x14ac:dyDescent="0.35">
      <c r="F1293" s="112"/>
    </row>
    <row r="1294" spans="6:6" x14ac:dyDescent="0.35">
      <c r="F1294" s="112"/>
    </row>
    <row r="1295" spans="6:6" x14ac:dyDescent="0.35">
      <c r="F1295" s="112"/>
    </row>
    <row r="1296" spans="6:6" x14ac:dyDescent="0.35">
      <c r="F1296" s="112"/>
    </row>
    <row r="1297" spans="6:6" x14ac:dyDescent="0.35">
      <c r="F1297" s="112"/>
    </row>
    <row r="1298" spans="6:6" x14ac:dyDescent="0.35">
      <c r="F1298" s="112"/>
    </row>
    <row r="1299" spans="6:6" x14ac:dyDescent="0.35">
      <c r="F1299" s="112"/>
    </row>
    <row r="1300" spans="6:6" x14ac:dyDescent="0.35">
      <c r="F1300" s="112"/>
    </row>
    <row r="1301" spans="6:6" x14ac:dyDescent="0.35">
      <c r="F1301" s="112"/>
    </row>
    <row r="1302" spans="6:6" x14ac:dyDescent="0.35">
      <c r="F1302" s="112"/>
    </row>
    <row r="1303" spans="6:6" x14ac:dyDescent="0.35">
      <c r="F1303" s="112"/>
    </row>
    <row r="1304" spans="6:6" x14ac:dyDescent="0.35">
      <c r="F1304" s="112"/>
    </row>
    <row r="1305" spans="6:6" x14ac:dyDescent="0.35">
      <c r="F1305" s="112"/>
    </row>
    <row r="1306" spans="6:6" x14ac:dyDescent="0.35">
      <c r="F1306" s="112"/>
    </row>
    <row r="1307" spans="6:6" x14ac:dyDescent="0.35">
      <c r="F1307" s="112"/>
    </row>
    <row r="1308" spans="6:6" x14ac:dyDescent="0.35">
      <c r="F1308" s="112"/>
    </row>
    <row r="1309" spans="6:6" x14ac:dyDescent="0.35">
      <c r="F1309" s="112"/>
    </row>
    <row r="1310" spans="6:6" x14ac:dyDescent="0.35">
      <c r="F1310" s="112"/>
    </row>
    <row r="1311" spans="6:6" x14ac:dyDescent="0.35">
      <c r="F1311" s="112"/>
    </row>
    <row r="1312" spans="6:6" x14ac:dyDescent="0.35">
      <c r="F1312" s="112"/>
    </row>
    <row r="1313" spans="6:6" x14ac:dyDescent="0.35">
      <c r="F1313" s="112"/>
    </row>
    <row r="1314" spans="6:6" x14ac:dyDescent="0.35">
      <c r="F1314" s="112"/>
    </row>
    <row r="1315" spans="6:6" x14ac:dyDescent="0.35">
      <c r="F1315" s="112"/>
    </row>
    <row r="1316" spans="6:6" x14ac:dyDescent="0.35">
      <c r="F1316" s="112"/>
    </row>
    <row r="1317" spans="6:6" x14ac:dyDescent="0.35">
      <c r="F1317" s="112"/>
    </row>
    <row r="1318" spans="6:6" x14ac:dyDescent="0.35">
      <c r="F1318" s="112"/>
    </row>
    <row r="1319" spans="6:6" x14ac:dyDescent="0.35">
      <c r="F1319" s="112"/>
    </row>
    <row r="1320" spans="6:6" x14ac:dyDescent="0.35">
      <c r="F1320" s="112"/>
    </row>
    <row r="1321" spans="6:6" x14ac:dyDescent="0.35">
      <c r="F1321" s="112"/>
    </row>
    <row r="1322" spans="6:6" x14ac:dyDescent="0.35">
      <c r="F1322" s="112"/>
    </row>
    <row r="1323" spans="6:6" x14ac:dyDescent="0.35">
      <c r="F1323" s="112"/>
    </row>
    <row r="1324" spans="6:6" x14ac:dyDescent="0.35">
      <c r="F1324" s="112"/>
    </row>
    <row r="1325" spans="6:6" x14ac:dyDescent="0.35">
      <c r="F1325" s="112"/>
    </row>
    <row r="1326" spans="6:6" x14ac:dyDescent="0.35">
      <c r="F1326" s="112"/>
    </row>
    <row r="1327" spans="6:6" x14ac:dyDescent="0.35">
      <c r="F1327" s="112"/>
    </row>
    <row r="1328" spans="6:6" x14ac:dyDescent="0.35">
      <c r="F1328" s="112"/>
    </row>
    <row r="1329" spans="6:6" x14ac:dyDescent="0.35">
      <c r="F1329" s="112"/>
    </row>
    <row r="1330" spans="6:6" x14ac:dyDescent="0.35">
      <c r="F1330" s="112"/>
    </row>
    <row r="1331" spans="6:6" x14ac:dyDescent="0.35">
      <c r="F1331" s="112"/>
    </row>
    <row r="1332" spans="6:6" x14ac:dyDescent="0.35">
      <c r="F1332" s="112"/>
    </row>
    <row r="1333" spans="6:6" x14ac:dyDescent="0.35">
      <c r="F1333" s="112"/>
    </row>
    <row r="1334" spans="6:6" x14ac:dyDescent="0.35">
      <c r="F1334" s="112"/>
    </row>
    <row r="1335" spans="6:6" x14ac:dyDescent="0.35">
      <c r="F1335" s="112"/>
    </row>
    <row r="1336" spans="6:6" x14ac:dyDescent="0.35">
      <c r="F1336" s="112"/>
    </row>
    <row r="1337" spans="6:6" x14ac:dyDescent="0.35">
      <c r="F1337" s="112"/>
    </row>
    <row r="1338" spans="6:6" x14ac:dyDescent="0.35">
      <c r="F1338" s="112"/>
    </row>
    <row r="1339" spans="6:6" x14ac:dyDescent="0.35">
      <c r="F1339" s="112"/>
    </row>
    <row r="1340" spans="6:6" x14ac:dyDescent="0.35">
      <c r="F1340" s="112"/>
    </row>
    <row r="1341" spans="6:6" x14ac:dyDescent="0.35">
      <c r="F1341" s="112"/>
    </row>
    <row r="1342" spans="6:6" x14ac:dyDescent="0.35">
      <c r="F1342" s="112"/>
    </row>
    <row r="1343" spans="6:6" x14ac:dyDescent="0.35">
      <c r="F1343" s="112"/>
    </row>
    <row r="1344" spans="6:6" x14ac:dyDescent="0.35">
      <c r="F1344" s="112"/>
    </row>
    <row r="1345" spans="6:6" x14ac:dyDescent="0.35">
      <c r="F1345" s="112"/>
    </row>
    <row r="1346" spans="6:6" x14ac:dyDescent="0.35">
      <c r="F1346" s="112"/>
    </row>
    <row r="1347" spans="6:6" x14ac:dyDescent="0.35">
      <c r="F1347" s="112"/>
    </row>
    <row r="1348" spans="6:6" x14ac:dyDescent="0.35">
      <c r="F1348" s="112"/>
    </row>
    <row r="1349" spans="6:6" x14ac:dyDescent="0.35">
      <c r="F1349" s="112"/>
    </row>
    <row r="1350" spans="6:6" x14ac:dyDescent="0.35">
      <c r="F1350" s="112"/>
    </row>
    <row r="1351" spans="6:6" x14ac:dyDescent="0.35">
      <c r="F1351" s="112"/>
    </row>
    <row r="1352" spans="6:6" x14ac:dyDescent="0.35">
      <c r="F1352" s="112"/>
    </row>
    <row r="1353" spans="6:6" x14ac:dyDescent="0.35">
      <c r="F1353" s="112"/>
    </row>
    <row r="1354" spans="6:6" x14ac:dyDescent="0.35">
      <c r="F1354" s="112"/>
    </row>
    <row r="1355" spans="6:6" x14ac:dyDescent="0.35">
      <c r="F1355" s="112"/>
    </row>
    <row r="1356" spans="6:6" x14ac:dyDescent="0.35">
      <c r="F1356" s="112"/>
    </row>
    <row r="1357" spans="6:6" x14ac:dyDescent="0.35">
      <c r="F1357" s="112"/>
    </row>
    <row r="1358" spans="6:6" x14ac:dyDescent="0.35">
      <c r="F1358" s="112"/>
    </row>
    <row r="1359" spans="6:6" x14ac:dyDescent="0.35">
      <c r="F1359" s="112"/>
    </row>
    <row r="1360" spans="6:6" x14ac:dyDescent="0.35">
      <c r="F1360" s="112"/>
    </row>
    <row r="1361" spans="6:6" x14ac:dyDescent="0.35">
      <c r="F1361" s="112"/>
    </row>
    <row r="1362" spans="6:6" x14ac:dyDescent="0.35">
      <c r="F1362" s="112"/>
    </row>
    <row r="1363" spans="6:6" x14ac:dyDescent="0.35">
      <c r="F1363" s="112"/>
    </row>
    <row r="1364" spans="6:6" x14ac:dyDescent="0.35">
      <c r="F1364" s="112"/>
    </row>
    <row r="1365" spans="6:6" x14ac:dyDescent="0.35">
      <c r="F1365" s="112"/>
    </row>
    <row r="1366" spans="6:6" x14ac:dyDescent="0.35">
      <c r="F1366" s="112"/>
    </row>
    <row r="1367" spans="6:6" x14ac:dyDescent="0.35">
      <c r="F1367" s="112"/>
    </row>
    <row r="1368" spans="6:6" x14ac:dyDescent="0.35">
      <c r="F1368" s="112"/>
    </row>
    <row r="1369" spans="6:6" x14ac:dyDescent="0.35">
      <c r="F1369" s="112"/>
    </row>
    <row r="1370" spans="6:6" x14ac:dyDescent="0.35">
      <c r="F1370" s="112"/>
    </row>
    <row r="1371" spans="6:6" x14ac:dyDescent="0.35">
      <c r="F1371" s="112"/>
    </row>
    <row r="1372" spans="6:6" x14ac:dyDescent="0.35">
      <c r="F1372" s="112"/>
    </row>
    <row r="1373" spans="6:6" x14ac:dyDescent="0.35">
      <c r="F1373" s="112"/>
    </row>
    <row r="1374" spans="6:6" x14ac:dyDescent="0.35">
      <c r="F1374" s="112"/>
    </row>
    <row r="1375" spans="6:6" x14ac:dyDescent="0.35">
      <c r="F1375" s="112"/>
    </row>
    <row r="1376" spans="6:6" x14ac:dyDescent="0.35">
      <c r="F1376" s="112"/>
    </row>
    <row r="1377" spans="6:6" x14ac:dyDescent="0.35">
      <c r="F1377" s="112"/>
    </row>
    <row r="1378" spans="6:6" x14ac:dyDescent="0.35">
      <c r="F1378" s="112"/>
    </row>
    <row r="1379" spans="6:6" x14ac:dyDescent="0.35">
      <c r="F1379" s="112"/>
    </row>
    <row r="1380" spans="6:6" x14ac:dyDescent="0.35">
      <c r="F1380" s="112"/>
    </row>
    <row r="1381" spans="6:6" x14ac:dyDescent="0.35">
      <c r="F1381" s="112"/>
    </row>
    <row r="1382" spans="6:6" x14ac:dyDescent="0.35">
      <c r="F1382" s="112"/>
    </row>
    <row r="1383" spans="6:6" x14ac:dyDescent="0.35">
      <c r="F1383" s="112"/>
    </row>
    <row r="1384" spans="6:6" x14ac:dyDescent="0.35">
      <c r="F1384" s="112"/>
    </row>
    <row r="1385" spans="6:6" x14ac:dyDescent="0.35">
      <c r="F1385" s="112"/>
    </row>
    <row r="1386" spans="6:6" x14ac:dyDescent="0.35">
      <c r="F1386" s="112"/>
    </row>
    <row r="1387" spans="6:6" x14ac:dyDescent="0.35">
      <c r="F1387" s="112"/>
    </row>
    <row r="1388" spans="6:6" x14ac:dyDescent="0.35">
      <c r="F1388" s="112"/>
    </row>
    <row r="1389" spans="6:6" x14ac:dyDescent="0.35">
      <c r="F1389" s="112"/>
    </row>
    <row r="1390" spans="6:6" x14ac:dyDescent="0.35">
      <c r="F1390" s="112"/>
    </row>
    <row r="1391" spans="6:6" x14ac:dyDescent="0.35">
      <c r="F1391" s="112"/>
    </row>
    <row r="1392" spans="6:6" x14ac:dyDescent="0.35">
      <c r="F1392" s="112"/>
    </row>
    <row r="1393" spans="6:6" x14ac:dyDescent="0.35">
      <c r="F1393" s="112"/>
    </row>
    <row r="1394" spans="6:6" x14ac:dyDescent="0.35">
      <c r="F1394" s="112"/>
    </row>
    <row r="1395" spans="6:6" x14ac:dyDescent="0.35">
      <c r="F1395" s="112"/>
    </row>
    <row r="1396" spans="6:6" x14ac:dyDescent="0.35">
      <c r="F1396" s="112"/>
    </row>
    <row r="1397" spans="6:6" x14ac:dyDescent="0.35">
      <c r="F1397" s="112"/>
    </row>
    <row r="1398" spans="6:6" x14ac:dyDescent="0.35">
      <c r="F1398" s="112"/>
    </row>
    <row r="1399" spans="6:6" x14ac:dyDescent="0.35">
      <c r="F1399" s="112"/>
    </row>
    <row r="1400" spans="6:6" x14ac:dyDescent="0.35">
      <c r="F1400" s="112"/>
    </row>
    <row r="1401" spans="6:6" x14ac:dyDescent="0.35">
      <c r="F1401" s="112"/>
    </row>
    <row r="1402" spans="6:6" x14ac:dyDescent="0.35">
      <c r="F1402" s="112"/>
    </row>
    <row r="1403" spans="6:6" x14ac:dyDescent="0.35">
      <c r="F1403" s="112"/>
    </row>
    <row r="1404" spans="6:6" x14ac:dyDescent="0.35">
      <c r="F1404" s="112"/>
    </row>
    <row r="1405" spans="6:6" x14ac:dyDescent="0.35">
      <c r="F1405" s="112"/>
    </row>
    <row r="1406" spans="6:6" x14ac:dyDescent="0.35">
      <c r="F1406" s="112"/>
    </row>
    <row r="1407" spans="6:6" x14ac:dyDescent="0.35">
      <c r="F1407" s="112"/>
    </row>
    <row r="1408" spans="6:6" x14ac:dyDescent="0.35">
      <c r="F1408" s="112"/>
    </row>
    <row r="1409" spans="6:6" x14ac:dyDescent="0.35">
      <c r="F1409" s="112"/>
    </row>
    <row r="1410" spans="6:6" x14ac:dyDescent="0.35">
      <c r="F1410" s="112"/>
    </row>
    <row r="1411" spans="6:6" x14ac:dyDescent="0.35">
      <c r="F1411" s="112"/>
    </row>
    <row r="1412" spans="6:6" x14ac:dyDescent="0.35">
      <c r="F1412" s="112"/>
    </row>
    <row r="1413" spans="6:6" x14ac:dyDescent="0.35">
      <c r="F1413" s="112"/>
    </row>
    <row r="1414" spans="6:6" x14ac:dyDescent="0.35">
      <c r="F1414" s="112"/>
    </row>
    <row r="1415" spans="6:6" x14ac:dyDescent="0.35">
      <c r="F1415" s="112"/>
    </row>
    <row r="1416" spans="6:6" x14ac:dyDescent="0.35">
      <c r="F1416" s="112"/>
    </row>
    <row r="1417" spans="6:6" x14ac:dyDescent="0.35">
      <c r="F1417" s="112"/>
    </row>
    <row r="1418" spans="6:6" x14ac:dyDescent="0.35">
      <c r="F1418" s="112"/>
    </row>
    <row r="1419" spans="6:6" x14ac:dyDescent="0.35">
      <c r="F1419" s="112"/>
    </row>
    <row r="1420" spans="6:6" x14ac:dyDescent="0.35">
      <c r="F1420" s="112"/>
    </row>
    <row r="1421" spans="6:6" x14ac:dyDescent="0.35">
      <c r="F1421" s="112"/>
    </row>
    <row r="1422" spans="6:6" x14ac:dyDescent="0.35">
      <c r="F1422" s="112"/>
    </row>
    <row r="1423" spans="6:6" x14ac:dyDescent="0.35">
      <c r="F1423" s="112"/>
    </row>
    <row r="1424" spans="6:6" x14ac:dyDescent="0.35">
      <c r="F1424" s="112"/>
    </row>
    <row r="1425" spans="6:7" x14ac:dyDescent="0.35">
      <c r="F1425" s="112"/>
    </row>
    <row r="1426" spans="6:7" x14ac:dyDescent="0.35">
      <c r="F1426" s="112"/>
    </row>
    <row r="1427" spans="6:7" x14ac:dyDescent="0.35">
      <c r="F1427" s="112"/>
    </row>
    <row r="1428" spans="6:7" x14ac:dyDescent="0.35">
      <c r="F1428" s="112"/>
    </row>
    <row r="1429" spans="6:7" x14ac:dyDescent="0.35">
      <c r="F1429" s="112"/>
      <c r="G1429" s="107"/>
    </row>
    <row r="1430" spans="6:7" x14ac:dyDescent="0.35">
      <c r="F1430" s="112"/>
    </row>
    <row r="1431" spans="6:7" x14ac:dyDescent="0.35">
      <c r="F1431" s="112"/>
    </row>
    <row r="1432" spans="6:7" x14ac:dyDescent="0.35">
      <c r="F1432" s="112"/>
    </row>
    <row r="1433" spans="6:7" x14ac:dyDescent="0.35">
      <c r="F1433" s="112"/>
    </row>
    <row r="1434" spans="6:7" x14ac:dyDescent="0.35">
      <c r="F1434" s="112"/>
    </row>
    <row r="1435" spans="6:7" x14ac:dyDescent="0.35">
      <c r="F1435" s="112"/>
    </row>
    <row r="1436" spans="6:7" x14ac:dyDescent="0.35">
      <c r="F1436" s="112"/>
    </row>
    <row r="1437" spans="6:7" x14ac:dyDescent="0.35">
      <c r="F1437" s="112"/>
    </row>
    <row r="1438" spans="6:7" x14ac:dyDescent="0.35">
      <c r="F1438" s="112"/>
    </row>
    <row r="1439" spans="6:7" x14ac:dyDescent="0.35">
      <c r="F1439" s="112"/>
    </row>
    <row r="1440" spans="6:7" x14ac:dyDescent="0.35">
      <c r="F1440" s="112"/>
    </row>
    <row r="1441" spans="6:6" x14ac:dyDescent="0.35">
      <c r="F1441" s="112"/>
    </row>
    <row r="1442" spans="6:6" x14ac:dyDescent="0.35">
      <c r="F1442" s="112"/>
    </row>
    <row r="1443" spans="6:6" x14ac:dyDescent="0.35">
      <c r="F1443" s="112"/>
    </row>
    <row r="1444" spans="6:6" x14ac:dyDescent="0.35">
      <c r="F1444" s="112"/>
    </row>
    <row r="1445" spans="6:6" x14ac:dyDescent="0.35">
      <c r="F1445" s="112"/>
    </row>
    <row r="1446" spans="6:6" x14ac:dyDescent="0.35">
      <c r="F1446" s="112"/>
    </row>
    <row r="1447" spans="6:6" x14ac:dyDescent="0.35">
      <c r="F1447" s="112"/>
    </row>
    <row r="1448" spans="6:6" x14ac:dyDescent="0.35">
      <c r="F1448" s="112"/>
    </row>
    <row r="1449" spans="6:6" x14ac:dyDescent="0.35">
      <c r="F1449" s="112"/>
    </row>
    <row r="1450" spans="6:6" x14ac:dyDescent="0.35">
      <c r="F1450" s="112"/>
    </row>
  </sheetData>
  <sheetProtection algorithmName="SHA-512" hashValue="6npN+GdyzkHLfHJ/K4crQfnTkbXiZdy9swZrBpcVHlwbR5HiBRIyj+BWKFQ6TNfVFePFDNn3Gh5ybMvImUanEg==" saltValue="E7EBEtBx5KyOOHPRN4vBxw==" spinCount="100000" sheet="1" objects="1" scenarios="1"/>
  <sortState xmlns:xlrd2="http://schemas.microsoft.com/office/spreadsheetml/2017/richdata2" ref="E57:E77">
    <sortCondition ref="E77"/>
  </sortState>
  <mergeCells count="83">
    <mergeCell ref="L45:L46"/>
    <mergeCell ref="K103:K104"/>
    <mergeCell ref="K105:K106"/>
    <mergeCell ref="K107:K108"/>
    <mergeCell ref="K93:K94"/>
    <mergeCell ref="K95:K96"/>
    <mergeCell ref="K97:K98"/>
    <mergeCell ref="K99:K100"/>
    <mergeCell ref="K101:K102"/>
    <mergeCell ref="K83:K84"/>
    <mergeCell ref="K85:K86"/>
    <mergeCell ref="K87:K88"/>
    <mergeCell ref="K89:K90"/>
    <mergeCell ref="K91:K92"/>
    <mergeCell ref="K73:K74"/>
    <mergeCell ref="K75:K76"/>
    <mergeCell ref="K77:K78"/>
    <mergeCell ref="K79:K80"/>
    <mergeCell ref="K81:K82"/>
    <mergeCell ref="K63:K64"/>
    <mergeCell ref="K65:K66"/>
    <mergeCell ref="K67:K68"/>
    <mergeCell ref="K69:K70"/>
    <mergeCell ref="K71:K72"/>
    <mergeCell ref="K53:K54"/>
    <mergeCell ref="K55:K56"/>
    <mergeCell ref="K57:K58"/>
    <mergeCell ref="K59:K60"/>
    <mergeCell ref="K61:K62"/>
    <mergeCell ref="K43:K44"/>
    <mergeCell ref="K45:K46"/>
    <mergeCell ref="K47:K48"/>
    <mergeCell ref="K49:K50"/>
    <mergeCell ref="K51:K52"/>
    <mergeCell ref="K33:K34"/>
    <mergeCell ref="K35:K36"/>
    <mergeCell ref="K37:K38"/>
    <mergeCell ref="K39:K40"/>
    <mergeCell ref="K41:K42"/>
    <mergeCell ref="K23:K24"/>
    <mergeCell ref="K25:K26"/>
    <mergeCell ref="K27:K28"/>
    <mergeCell ref="K29:K30"/>
    <mergeCell ref="K31:K32"/>
    <mergeCell ref="K13:K14"/>
    <mergeCell ref="K15:K16"/>
    <mergeCell ref="K17:K18"/>
    <mergeCell ref="K19:K20"/>
    <mergeCell ref="K21:K22"/>
    <mergeCell ref="K3:K4"/>
    <mergeCell ref="K5:K6"/>
    <mergeCell ref="K7:K8"/>
    <mergeCell ref="K9:K10"/>
    <mergeCell ref="K11:K12"/>
    <mergeCell ref="L13:L14"/>
    <mergeCell ref="L15:L16"/>
    <mergeCell ref="L17:L18"/>
    <mergeCell ref="L19:L20"/>
    <mergeCell ref="L3:L4"/>
    <mergeCell ref="L5:L6"/>
    <mergeCell ref="L7:L8"/>
    <mergeCell ref="L9:L10"/>
    <mergeCell ref="L11:L12"/>
    <mergeCell ref="L43:L44"/>
    <mergeCell ref="L21:L22"/>
    <mergeCell ref="L23:L24"/>
    <mergeCell ref="L25:L26"/>
    <mergeCell ref="L27:L28"/>
    <mergeCell ref="L29:L30"/>
    <mergeCell ref="L31:L32"/>
    <mergeCell ref="L33:L34"/>
    <mergeCell ref="L35:L36"/>
    <mergeCell ref="L37:L38"/>
    <mergeCell ref="L39:L40"/>
    <mergeCell ref="L41:L42"/>
    <mergeCell ref="L57:L59"/>
    <mergeCell ref="L61:L65"/>
    <mergeCell ref="L67:L69"/>
    <mergeCell ref="L47:L48"/>
    <mergeCell ref="L49:L50"/>
    <mergeCell ref="L51:L52"/>
    <mergeCell ref="L53:L54"/>
    <mergeCell ref="L55:L5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3:Q65"/>
  <sheetViews>
    <sheetView showZeros="0" workbookViewId="0">
      <selection activeCell="C16" sqref="C16"/>
    </sheetView>
  </sheetViews>
  <sheetFormatPr defaultColWidth="9.1796875" defaultRowHeight="14.5" x14ac:dyDescent="0.35"/>
  <cols>
    <col min="1" max="1" width="9.7265625" style="67" bestFit="1" customWidth="1"/>
    <col min="2" max="2" width="11.26953125" style="67" customWidth="1"/>
    <col min="3" max="3" width="11.54296875" style="67" customWidth="1"/>
    <col min="4" max="5" width="11.54296875" style="80" customWidth="1"/>
    <col min="6" max="7" width="11.54296875" style="67" customWidth="1"/>
    <col min="8" max="8" width="11.54296875" style="80" customWidth="1"/>
    <col min="9" max="16384" width="9.1796875" style="67"/>
  </cols>
  <sheetData>
    <row r="3" spans="1:17" ht="68.25" customHeight="1" x14ac:dyDescent="0.35">
      <c r="A3" s="81" t="s">
        <v>5</v>
      </c>
      <c r="B3" s="82" t="s">
        <v>6</v>
      </c>
      <c r="C3" s="82" t="s">
        <v>7</v>
      </c>
      <c r="D3" s="83" t="s">
        <v>152</v>
      </c>
      <c r="E3" s="83" t="s">
        <v>153</v>
      </c>
      <c r="F3" s="82" t="s">
        <v>151</v>
      </c>
      <c r="G3" s="82"/>
      <c r="H3" s="83"/>
      <c r="I3" s="242" t="s">
        <v>15</v>
      </c>
      <c r="J3" s="242"/>
      <c r="K3" s="242"/>
      <c r="L3" s="242"/>
      <c r="M3" s="242"/>
      <c r="N3" s="242"/>
      <c r="O3" s="242"/>
      <c r="P3" s="242"/>
    </row>
    <row r="4" spans="1:17" ht="15.5" x14ac:dyDescent="0.35">
      <c r="A4" s="133">
        <f>'Timesheet-Regular'!C11</f>
        <v>44743</v>
      </c>
      <c r="B4" s="71">
        <f>IFERROR(
IF('Timesheet-Regular'!J11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IF('Timesheet-Regular'!J11=0,0,'Timesheet-Regular'!D11),
IF('Timesheet-Regular'!$D$2="Sapta Sarana Sejahtera (Exim Bank)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IF('Timesheet-Regular'!$D$2="Bank Permata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11-TIME(('Timesheet-Regular'!F11-8),0,0),
IF(AND(IF(MINUTE('Timesheet-Regular'!E11-'Timesheet-Regular'!D11)&gt;29,HOUR('Timesheet-Regular'!E11-'Timesheet-Regular'!D11)+1,HOUR('Timesheet-Regular'!E11-'Timesheet-Regular'!D11))=9,'Timesheet-Regular'!F11&gt;8),0,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11+TIME(9,1,0)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=9,'Timesheet-Regular'!F11&gt;8),'Timesheet-Regular'!D11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'Timesheet-Regular'!D11+TIME(9,1,0),0))))))))),"")</f>
        <v>0</v>
      </c>
      <c r="C4" s="71">
        <f>IF(B4&gt;0,'Timesheet-Regular'!E11,0)</f>
        <v>0</v>
      </c>
      <c r="D4" s="79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MINUTE(C4-B4)&gt;0,HOUR(C4-B4)+1,HOUR(C4-B4)),IF(MINUTE(C4-B4)&gt;29,HOUR(C4-B4)+1,HOUR(C4-B4)))</f>
        <v>0</v>
      </c>
      <c r="E4" s="240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SUM(Sheet2!D4:D5),0)</f>
        <v>0</v>
      </c>
      <c r="F4" s="78" t="str">
        <f>IFERROR(IF(B4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B4&gt;0,"Yes","")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=12,'Timesheet-Regular'!F11&gt;11),"Yes",
IF(AND(IF(MINUTE('Timesheet-Regular'!E11-'Timesheet-Regular'!D11)&gt;29,HOUR('Timesheet-Regular'!E11-'Timesheet-Regular'!D11)+1,HOUR('Timesheet-Regular'!E11-'Timesheet-Regular'!D11))=12,'Timesheet-Regular'!F11&gt;11),"",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=12,'Timesheet-Regular'!F11&gt;11),"Yes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No"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"Yes","")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=9,'Timesheet-Regular'!F11&gt;8),"Yes",
IF(AND(IF(MINUTE('Timesheet-Regular'!E11-'Timesheet-Regular'!D11)&gt;29,HOUR('Timesheet-Regular'!E11-'Timesheet-Regular'!D11)+1,HOUR('Timesheet-Regular'!E11-'Timesheet-Regular'!D11))=9,'Timesheet-Regular'!F11&gt;8),"",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=9,'Timesheet-Regular'!F11&gt;8),"Yes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No"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"Yes",""))))))))),"")</f>
        <v/>
      </c>
      <c r="G4" s="78">
        <f t="shared" ref="G4:G65" si="0">C4-B4</f>
        <v>0</v>
      </c>
      <c r="H4" s="240">
        <f>SUM(Sheet2!D4:D5)</f>
        <v>0</v>
      </c>
      <c r="I4" s="203"/>
      <c r="J4" s="204"/>
      <c r="K4" s="204"/>
      <c r="L4" s="204"/>
      <c r="M4" s="204"/>
      <c r="N4" s="204"/>
      <c r="O4" s="204"/>
      <c r="P4" s="205"/>
    </row>
    <row r="5" spans="1:17" ht="15.5" x14ac:dyDescent="0.35">
      <c r="A5" s="134"/>
      <c r="B5" s="71">
        <f>IF('Timesheet-Regular'!J12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IF('Timesheet-Regular'!D11=0,0,'Timesheet-Regular'!D12),
IF('Timesheet-Regular'!D12=0,0,
IF('Timesheet-Regular'!$D$2="Sapta Sarana Sejahtera (Exim Bank)",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11),'Timesheet-Regular'!E12-TIME(('Timesheet-Regular'!F11-10)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11),'Timesheet-Regular'!D12,
IF(AND(IF(MINUTE('Timesheet-Regular'!E11-'Timesheet-Regular'!D11)&gt;29,HOUR('Timesheet-Regular'!E11-'Timesheet-Regular'!D11)+1,HOUR('Timesheet-Regular'!E11-'Timesheet-Regular'!D11))=11,'Timesheet-Regular'!F11&gt;11),'Timesheet-Regular'!D12,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IF('Timesheet-Regular'!$D$2="Bank Permata",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12-TIME(('Timesheet-Regular'!F11-9)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12,
IF(AND(IF(MINUTE('Timesheet-Regular'!E11-'Timesheet-Regular'!D11)&gt;29,HOUR('Timesheet-Regular'!E11-'Timesheet-Regular'!D11)+1,HOUR('Timesheet-Regular'!E11-'Timesheet-Regular'!D11))=11,'Timesheet-Regular'!F11&gt;10),'Timesheet-Regular'!D12,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12-TIME(('Timesheet-Regular'!F11-8),0,0)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12,
IF(AND(IF(MINUTE('Timesheet-Regular'!E11-'Timesheet-Regular'!D11)&gt;29,HOUR('Timesheet-Regular'!E11-'Timesheet-Regular'!D11)+1,HOUR('Timesheet-Regular'!E11-'Timesheet-Regular'!D11))=9,'Timesheet-Regular'!F11&gt;8),'Timesheet-Regular'!D12,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'Timesheet-Regular'!D12+TIME(9,1,0),
IF(AND((IF(MINUTE('Timesheet-Regular'!E11-'Timesheet-Regular'!D11)&gt;29,HOUR('Timesheet-Regular'!E11-'Timesheet-Regular'!D11)+1,HOUR('Timesheet-Regular'!E11-'Timesheet-Regular'!D11))&gt;=9),(IF(MINUTE('Timesheet-Regular'!E12-'Timesheet-Regular'!D12)&gt;29,HOUR('Timesheet-Regular'!E12-'Timesheet-Regular'!D12)+1,HOUR('Timesheet-Regular'!E12-'Timesheet-Regular'!D12))&gt;=9)),'Timesheet-Regular'!D12,0))))))))))</f>
        <v>0</v>
      </c>
      <c r="C5" s="71">
        <f>IF(B5&gt;0,'Timesheet-Regular'!E12,0)</f>
        <v>0</v>
      </c>
      <c r="D5" s="79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AND(B5&gt;0,B5&lt;=C4),0,IF(MINUTE(C5-B5)&gt;0,HOUR(C5-B5)+1,HOUR(C5-B5))),IF(AND(B5&gt;0,B5&lt;=C4),0,IF(MINUTE(C5-B5)&gt;29,HOUR(C5-B5)+1,HOUR(C5-B5))))</f>
        <v>0</v>
      </c>
      <c r="E5" s="241"/>
      <c r="F5" s="78" t="str">
        <f>IFERROR(IF(B5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IF(AND(B5&gt;0,B5&lt;=C4),0,IF(B5=0,"","Yes")),
IF('Timesheet-Regular'!$D$2="Rabobank",
IF('Timesheet-Regular'!D12=0,"",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Yes",
IF(AND(IF(MINUTE('Timesheet-Regular'!E11-'Timesheet-Regular'!D11)&gt;29,HOUR('Timesheet-Regular'!E11-'Timesheet-Regular'!D11)+1,HOUR('Timesheet-Regular'!E11-'Timesheet-Regular'!D11))=12,IF(MINUTE('Timesheet-Regular'!E12-'Timesheet-Regular'!D12)&gt;29,HOUR('Timesheet-Regular'!E12-'Timesheet-Regular'!D12)+1,HOUR('Timesheet-Regular'!E12-'Timesheet-Regular'!D12))&gt;0,'Timesheet-Regular'!F11&gt;11),"Yes",
IF(AND(IF(MINUTE('Timesheet-Regular'!E12-'Timesheet-Regular'!D12)&gt;29,HOUR('Timesheet-Regular'!E12-'Timesheet-Regular'!D12)+1,HOUR('Timesheet-Regular'!E12-'Timesheet-Regular'!D12))=12,'Timesheet-Regular'!F11&gt;11),"",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Yes","No")))))),
IF('Timesheet-Regular'!D12=0,"",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Yes",
IF(AND(IF(MINUTE('Timesheet-Regular'!E11-'Timesheet-Regular'!D11)&gt;29,HOUR('Timesheet-Regular'!E11-'Timesheet-Regular'!D11)+1,HOUR('Timesheet-Regular'!E11-'Timesheet-Regular'!D11))=9,IF(MINUTE('Timesheet-Regular'!E12-'Timesheet-Regular'!D12)&gt;29,HOUR('Timesheet-Regular'!E12-'Timesheet-Regular'!D12)+1,HOUR('Timesheet-Regular'!E12-'Timesheet-Regular'!D12))&gt;0,'Timesheet-Regular'!F11&gt;8),"Yes",
IF(AND(IF(MINUTE('Timesheet-Regular'!E12-'Timesheet-Regular'!D12)&gt;29,HOUR('Timesheet-Regular'!E12-'Timesheet-Regular'!D12)+1,HOUR('Timesheet-Regular'!E12-'Timesheet-Regular'!D12))=9,'Timesheet-Regular'!F11&gt;8),"",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Yes","No"))))))))),"")</f>
        <v/>
      </c>
      <c r="G5" s="78">
        <f t="shared" si="0"/>
        <v>0</v>
      </c>
      <c r="H5" s="241"/>
      <c r="I5" s="203"/>
      <c r="J5" s="204"/>
      <c r="K5" s="204"/>
      <c r="L5" s="204"/>
      <c r="M5" s="204"/>
      <c r="N5" s="204"/>
      <c r="O5" s="204"/>
      <c r="P5" s="205"/>
    </row>
    <row r="6" spans="1:17" ht="15.5" x14ac:dyDescent="0.35">
      <c r="A6" s="133">
        <f>'Timesheet-Regular'!C13</f>
        <v>44744</v>
      </c>
      <c r="B6" s="71">
        <f>IFERROR(
IF('Timesheet-Regular'!J13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IF('Timesheet-Regular'!J13=0,0,'Timesheet-Regular'!D13),
IF('Timesheet-Regular'!$D$2="Sapta Sarana Sejahtera (Exim Bank)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IF('Timesheet-Regular'!$D$2="Bank Permata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13-TIME(('Timesheet-Regular'!F13-8),0,0),
IF(AND(IF(MINUTE('Timesheet-Regular'!E13-'Timesheet-Regular'!D13)&gt;29,HOUR('Timesheet-Regular'!E13-'Timesheet-Regular'!D13)+1,HOUR('Timesheet-Regular'!E13-'Timesheet-Regular'!D13))=9,'Timesheet-Regular'!F13&gt;8),0,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13+TIME(9,1,0)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=9,'Timesheet-Regular'!F13&gt;8),'Timesheet-Regular'!D13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'Timesheet-Regular'!D13+TIME(9,1,0),0))))))))),"")</f>
        <v>0</v>
      </c>
      <c r="C6" s="71">
        <f>IF(B6&gt;0,'Timesheet-Regular'!E13,0)</f>
        <v>0</v>
      </c>
      <c r="D6" s="79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MINUTE(C6-B6)&gt;0,HOUR(C6-B6)+1,HOUR(C6-B6)),IF(MINUTE(C6-B6)&gt;29,HOUR(C6-B6)+1,HOUR(C6-B6)))</f>
        <v>0</v>
      </c>
      <c r="E6" s="240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SUM(Sheet2!D6:D7),0)</f>
        <v>0</v>
      </c>
      <c r="F6" s="78" t="str">
        <f>IFERROR(IF(B6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B6&gt;0,"Yes","")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=12,'Timesheet-Regular'!F13&gt;11),"Yes",
IF(AND(IF(MINUTE('Timesheet-Regular'!E13-'Timesheet-Regular'!D13)&gt;29,HOUR('Timesheet-Regular'!E13-'Timesheet-Regular'!D13)+1,HOUR('Timesheet-Regular'!E13-'Timesheet-Regular'!D13))=12,'Timesheet-Regular'!F13&gt;11),"",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=12,'Timesheet-Regular'!F13&gt;11),"Yes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No"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"Yes","")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=9,'Timesheet-Regular'!F13&gt;8),"Yes",
IF(AND(IF(MINUTE('Timesheet-Regular'!E13-'Timesheet-Regular'!D13)&gt;29,HOUR('Timesheet-Regular'!E13-'Timesheet-Regular'!D13)+1,HOUR('Timesheet-Regular'!E13-'Timesheet-Regular'!D13))=9,'Timesheet-Regular'!F13&gt;8),"",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=9,'Timesheet-Regular'!F13&gt;8),"Yes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No"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"Yes",""))))))))),"")</f>
        <v/>
      </c>
      <c r="G6" s="78">
        <f t="shared" si="0"/>
        <v>0</v>
      </c>
      <c r="H6" s="240">
        <f>SUM(Sheet2!D6:D7)</f>
        <v>0</v>
      </c>
      <c r="I6" s="203"/>
      <c r="J6" s="204"/>
      <c r="K6" s="204"/>
      <c r="L6" s="204"/>
      <c r="M6" s="204"/>
      <c r="N6" s="204"/>
      <c r="O6" s="204"/>
      <c r="P6" s="205"/>
    </row>
    <row r="7" spans="1:17" ht="15.5" x14ac:dyDescent="0.35">
      <c r="A7" s="134"/>
      <c r="B7" s="71">
        <f>IF('Timesheet-Regular'!J14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IF('Timesheet-Regular'!D13=0,0,'Timesheet-Regular'!D14),
IF('Timesheet-Regular'!D14=0,0,
IF('Timesheet-Regular'!$D$2="Sapta Sarana Sejahtera (Exim Bank)",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11),'Timesheet-Regular'!E14-TIME(('Timesheet-Regular'!F13-10)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11),'Timesheet-Regular'!D14,
IF(AND(IF(MINUTE('Timesheet-Regular'!E13-'Timesheet-Regular'!D13)&gt;29,HOUR('Timesheet-Regular'!E13-'Timesheet-Regular'!D13)+1,HOUR('Timesheet-Regular'!E13-'Timesheet-Regular'!D13))=11,'Timesheet-Regular'!F13&gt;11),'Timesheet-Regular'!D14,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IF('Timesheet-Regular'!$D$2="Bank Permata",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14-TIME(('Timesheet-Regular'!F13-9)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14,
IF(AND(IF(MINUTE('Timesheet-Regular'!E13-'Timesheet-Regular'!D13)&gt;29,HOUR('Timesheet-Regular'!E13-'Timesheet-Regular'!D13)+1,HOUR('Timesheet-Regular'!E13-'Timesheet-Regular'!D13))=11,'Timesheet-Regular'!F13&gt;10),'Timesheet-Regular'!D14,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14-TIME(('Timesheet-Regular'!F13-8),0,0)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14,
IF(AND(IF(MINUTE('Timesheet-Regular'!E13-'Timesheet-Regular'!D13)&gt;29,HOUR('Timesheet-Regular'!E13-'Timesheet-Regular'!D13)+1,HOUR('Timesheet-Regular'!E13-'Timesheet-Regular'!D13))=9,'Timesheet-Regular'!F13&gt;8),'Timesheet-Regular'!D14,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'Timesheet-Regular'!D14+TIME(9,1,0),
IF(AND((IF(MINUTE('Timesheet-Regular'!E13-'Timesheet-Regular'!D13)&gt;29,HOUR('Timesheet-Regular'!E13-'Timesheet-Regular'!D13)+1,HOUR('Timesheet-Regular'!E13-'Timesheet-Regular'!D13))&gt;=9),(IF(MINUTE('Timesheet-Regular'!E14-'Timesheet-Regular'!D14)&gt;29,HOUR('Timesheet-Regular'!E14-'Timesheet-Regular'!D14)+1,HOUR('Timesheet-Regular'!E14-'Timesheet-Regular'!D14))&gt;=9)),'Timesheet-Regular'!D14,0))))))))))</f>
        <v>0</v>
      </c>
      <c r="C7" s="71">
        <f>IF(B7&gt;0,'Timesheet-Regular'!E14,0)</f>
        <v>0</v>
      </c>
      <c r="D7" s="79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AND(B7&gt;0,B7&lt;=C6),0,IF(MINUTE(C7-B7)&gt;0,HOUR(C7-B7)+1,HOUR(C7-B7))),IF(AND(B7&gt;0,B7&lt;=C6),0,IF(MINUTE(C7-B7)&gt;29,HOUR(C7-B7)+1,HOUR(C7-B7))))</f>
        <v>0</v>
      </c>
      <c r="E7" s="241"/>
      <c r="F7" s="78" t="str">
        <f>IFERROR(IF(B7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IF(AND(B7&gt;0,B7&lt;=C6),0,IF(B7=0,"","Yes")),
IF('Timesheet-Regular'!$D$2="Rabobank",
IF('Timesheet-Regular'!D14=0,"",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Yes",
IF(AND(IF(MINUTE('Timesheet-Regular'!E13-'Timesheet-Regular'!D13)&gt;29,HOUR('Timesheet-Regular'!E13-'Timesheet-Regular'!D13)+1,HOUR('Timesheet-Regular'!E13-'Timesheet-Regular'!D13))=12,IF(MINUTE('Timesheet-Regular'!E14-'Timesheet-Regular'!D14)&gt;29,HOUR('Timesheet-Regular'!E14-'Timesheet-Regular'!D14)+1,HOUR('Timesheet-Regular'!E14-'Timesheet-Regular'!D14))&gt;0,'Timesheet-Regular'!F13&gt;11),"Yes",
IF(AND(IF(MINUTE('Timesheet-Regular'!E14-'Timesheet-Regular'!D14)&gt;29,HOUR('Timesheet-Regular'!E14-'Timesheet-Regular'!D14)+1,HOUR('Timesheet-Regular'!E14-'Timesheet-Regular'!D14))=12,'Timesheet-Regular'!F13&gt;11),"",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Yes","No")))))),
IF('Timesheet-Regular'!D14=0,"",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Yes",
IF(AND(IF(MINUTE('Timesheet-Regular'!E13-'Timesheet-Regular'!D13)&gt;29,HOUR('Timesheet-Regular'!E13-'Timesheet-Regular'!D13)+1,HOUR('Timesheet-Regular'!E13-'Timesheet-Regular'!D13))=9,IF(MINUTE('Timesheet-Regular'!E14-'Timesheet-Regular'!D14)&gt;29,HOUR('Timesheet-Regular'!E14-'Timesheet-Regular'!D14)+1,HOUR('Timesheet-Regular'!E14-'Timesheet-Regular'!D14))&gt;0,'Timesheet-Regular'!F13&gt;8),"Yes",
IF(AND(IF(MINUTE('Timesheet-Regular'!E14-'Timesheet-Regular'!D14)&gt;29,HOUR('Timesheet-Regular'!E14-'Timesheet-Regular'!D14)+1,HOUR('Timesheet-Regular'!E14-'Timesheet-Regular'!D14))=9,'Timesheet-Regular'!F13&gt;8),"",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Yes","No"))))))))),"")</f>
        <v/>
      </c>
      <c r="G7" s="78">
        <f t="shared" si="0"/>
        <v>0</v>
      </c>
      <c r="H7" s="241"/>
      <c r="I7" s="203"/>
      <c r="J7" s="204"/>
      <c r="K7" s="204"/>
      <c r="L7" s="204"/>
      <c r="M7" s="204"/>
      <c r="N7" s="204"/>
      <c r="O7" s="204"/>
      <c r="P7" s="205"/>
      <c r="Q7" s="84"/>
    </row>
    <row r="8" spans="1:17" ht="15.5" x14ac:dyDescent="0.35">
      <c r="A8" s="133">
        <f>'Timesheet-Regular'!C15</f>
        <v>44745</v>
      </c>
      <c r="B8" s="71">
        <f>IFERROR(
IF('Timesheet-Regular'!J15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IF('Timesheet-Regular'!J15=0,0,'Timesheet-Regular'!D15),
IF('Timesheet-Regular'!$D$2="Sapta Sarana Sejahtera (Exim Bank)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IF('Timesheet-Regular'!$D$2="Bank Permata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15-TIME(('Timesheet-Regular'!F15-8),0,0),
IF(AND(IF(MINUTE('Timesheet-Regular'!E15-'Timesheet-Regular'!D15)&gt;29,HOUR('Timesheet-Regular'!E15-'Timesheet-Regular'!D15)+1,HOUR('Timesheet-Regular'!E15-'Timesheet-Regular'!D15))=9,'Timesheet-Regular'!F15&gt;8),0,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15+TIME(9,1,0)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=9,'Timesheet-Regular'!F15&gt;8),'Timesheet-Regular'!D15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'Timesheet-Regular'!D15+TIME(9,1,0),0))))))))),"")</f>
        <v>0</v>
      </c>
      <c r="C8" s="71">
        <f>IF(B8&gt;0,'Timesheet-Regular'!E15,0)</f>
        <v>0</v>
      </c>
      <c r="D8" s="79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MINUTE(C8-B8)&gt;0,HOUR(C8-B8)+1,HOUR(C8-B8)),IF(MINUTE(C8-B8)&gt;29,HOUR(C8-B8)+1,HOUR(C8-B8)))</f>
        <v>0</v>
      </c>
      <c r="E8" s="240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SUM(Sheet2!D8:D9),0)</f>
        <v>0</v>
      </c>
      <c r="F8" s="78" t="str">
        <f>IFERROR(IF(B8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B8&gt;0,"Yes","")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=12,'Timesheet-Regular'!F15&gt;11),"Yes",
IF(AND(IF(MINUTE('Timesheet-Regular'!E15-'Timesheet-Regular'!D15)&gt;29,HOUR('Timesheet-Regular'!E15-'Timesheet-Regular'!D15)+1,HOUR('Timesheet-Regular'!E15-'Timesheet-Regular'!D15))=12,'Timesheet-Regular'!F15&gt;11),"",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=12,'Timesheet-Regular'!F15&gt;11),"Yes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No"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"Yes","")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=9,'Timesheet-Regular'!F15&gt;8),"Yes",
IF(AND(IF(MINUTE('Timesheet-Regular'!E15-'Timesheet-Regular'!D15)&gt;29,HOUR('Timesheet-Regular'!E15-'Timesheet-Regular'!D15)+1,HOUR('Timesheet-Regular'!E15-'Timesheet-Regular'!D15))=9,'Timesheet-Regular'!F15&gt;8),"",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=9,'Timesheet-Regular'!F15&gt;8),"Yes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No"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"Yes",""))))))))),"")</f>
        <v/>
      </c>
      <c r="G8" s="78">
        <f t="shared" si="0"/>
        <v>0</v>
      </c>
      <c r="H8" s="240">
        <f>SUM(Sheet2!D8:D9)</f>
        <v>0</v>
      </c>
      <c r="I8" s="203"/>
      <c r="J8" s="204"/>
      <c r="K8" s="204"/>
      <c r="L8" s="204"/>
      <c r="M8" s="204"/>
      <c r="N8" s="204"/>
      <c r="O8" s="204"/>
      <c r="P8" s="205"/>
      <c r="Q8" s="84"/>
    </row>
    <row r="9" spans="1:17" ht="15.5" x14ac:dyDescent="0.35">
      <c r="A9" s="134"/>
      <c r="B9" s="71">
        <f>IF('Timesheet-Regular'!J16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IF('Timesheet-Regular'!D15=0,0,'Timesheet-Regular'!D16),
IF('Timesheet-Regular'!D16=0,0,
IF('Timesheet-Regular'!$D$2="Sapta Sarana Sejahtera (Exim Bank)",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11),'Timesheet-Regular'!E16-TIME(('Timesheet-Regular'!F15-10)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11),'Timesheet-Regular'!D16,
IF(AND(IF(MINUTE('Timesheet-Regular'!E15-'Timesheet-Regular'!D15)&gt;29,HOUR('Timesheet-Regular'!E15-'Timesheet-Regular'!D15)+1,HOUR('Timesheet-Regular'!E15-'Timesheet-Regular'!D15))=11,'Timesheet-Regular'!F15&gt;11),'Timesheet-Regular'!D16,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IF('Timesheet-Regular'!$D$2="Bank Permata",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16-TIME(('Timesheet-Regular'!F15-9)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16,
IF(AND(IF(MINUTE('Timesheet-Regular'!E15-'Timesheet-Regular'!D15)&gt;29,HOUR('Timesheet-Regular'!E15-'Timesheet-Regular'!D15)+1,HOUR('Timesheet-Regular'!E15-'Timesheet-Regular'!D15))=11,'Timesheet-Regular'!F15&gt;10),'Timesheet-Regular'!D16,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16-TIME(('Timesheet-Regular'!F15-8),0,0)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16,
IF(AND(IF(MINUTE('Timesheet-Regular'!E15-'Timesheet-Regular'!D15)&gt;29,HOUR('Timesheet-Regular'!E15-'Timesheet-Regular'!D15)+1,HOUR('Timesheet-Regular'!E15-'Timesheet-Regular'!D15))=9,'Timesheet-Regular'!F15&gt;8),'Timesheet-Regular'!D16,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'Timesheet-Regular'!D16+TIME(9,1,0),
IF(AND((IF(MINUTE('Timesheet-Regular'!E15-'Timesheet-Regular'!D15)&gt;29,HOUR('Timesheet-Regular'!E15-'Timesheet-Regular'!D15)+1,HOUR('Timesheet-Regular'!E15-'Timesheet-Regular'!D15))&gt;=9),(IF(MINUTE('Timesheet-Regular'!E16-'Timesheet-Regular'!D16)&gt;29,HOUR('Timesheet-Regular'!E16-'Timesheet-Regular'!D16)+1,HOUR('Timesheet-Regular'!E16-'Timesheet-Regular'!D16))&gt;=9)),'Timesheet-Regular'!D16,0))))))))))</f>
        <v>0</v>
      </c>
      <c r="C9" s="71">
        <f>IF(B9&gt;0,'Timesheet-Regular'!E16,0)</f>
        <v>0</v>
      </c>
      <c r="D9" s="79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AND(B9&gt;0,B9&lt;=C8),0,IF(MINUTE(C9-B9)&gt;0,HOUR(C9-B9)+1,HOUR(C9-B9))),IF(AND(B9&gt;0,B9&lt;=C8),0,IF(MINUTE(C9-B9)&gt;29,HOUR(C9-B9)+1,HOUR(C9-B9))))</f>
        <v>0</v>
      </c>
      <c r="E9" s="241"/>
      <c r="F9" s="78" t="str">
        <f>IFERROR(IF(B9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IF(AND(B9&gt;0,B9&lt;=C8),0,IF(B9=0,"","Yes")),
IF('Timesheet-Regular'!$D$2="Rabobank",
IF('Timesheet-Regular'!D16=0,"",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Yes",
IF(AND(IF(MINUTE('Timesheet-Regular'!E15-'Timesheet-Regular'!D15)&gt;29,HOUR('Timesheet-Regular'!E15-'Timesheet-Regular'!D15)+1,HOUR('Timesheet-Regular'!E15-'Timesheet-Regular'!D15))=12,IF(MINUTE('Timesheet-Regular'!E16-'Timesheet-Regular'!D16)&gt;29,HOUR('Timesheet-Regular'!E16-'Timesheet-Regular'!D16)+1,HOUR('Timesheet-Regular'!E16-'Timesheet-Regular'!D16))&gt;0,'Timesheet-Regular'!F15&gt;11),"Yes",
IF(AND(IF(MINUTE('Timesheet-Regular'!E16-'Timesheet-Regular'!D16)&gt;29,HOUR('Timesheet-Regular'!E16-'Timesheet-Regular'!D16)+1,HOUR('Timesheet-Regular'!E16-'Timesheet-Regular'!D16))=12,'Timesheet-Regular'!F15&gt;11),"",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Yes","No")))))),
IF('Timesheet-Regular'!D16=0,"",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Yes",
IF(AND(IF(MINUTE('Timesheet-Regular'!E15-'Timesheet-Regular'!D15)&gt;29,HOUR('Timesheet-Regular'!E15-'Timesheet-Regular'!D15)+1,HOUR('Timesheet-Regular'!E15-'Timesheet-Regular'!D15))=9,IF(MINUTE('Timesheet-Regular'!E16-'Timesheet-Regular'!D16)&gt;29,HOUR('Timesheet-Regular'!E16-'Timesheet-Regular'!D16)+1,HOUR('Timesheet-Regular'!E16-'Timesheet-Regular'!D16))&gt;0,'Timesheet-Regular'!F15&gt;8),"Yes",
IF(AND(IF(MINUTE('Timesheet-Regular'!E16-'Timesheet-Regular'!D16)&gt;29,HOUR('Timesheet-Regular'!E16-'Timesheet-Regular'!D16)+1,HOUR('Timesheet-Regular'!E16-'Timesheet-Regular'!D16))=9,'Timesheet-Regular'!F15&gt;8),"",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Yes","No"))))))))),"")</f>
        <v/>
      </c>
      <c r="G9" s="78">
        <f t="shared" si="0"/>
        <v>0</v>
      </c>
      <c r="H9" s="241"/>
      <c r="I9" s="203"/>
      <c r="J9" s="204"/>
      <c r="K9" s="204"/>
      <c r="L9" s="204"/>
      <c r="M9" s="204"/>
      <c r="N9" s="204"/>
      <c r="O9" s="204"/>
      <c r="P9" s="205"/>
    </row>
    <row r="10" spans="1:17" ht="15.5" x14ac:dyDescent="0.35">
      <c r="A10" s="133">
        <f>'Timesheet-Regular'!C17</f>
        <v>44746</v>
      </c>
      <c r="B10" s="71">
        <f>IFERROR(
IF('Timesheet-Regular'!J17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IF('Timesheet-Regular'!J17=0,0,'Timesheet-Regular'!D17),
IF('Timesheet-Regular'!$D$2="Sapta Sarana Sejahtera (Exim Bank)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IF('Timesheet-Regular'!$D$2="Bank Permata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17-TIME(('Timesheet-Regular'!F17-8),0,0),
IF(AND(IF(MINUTE('Timesheet-Regular'!E17-'Timesheet-Regular'!D17)&gt;29,HOUR('Timesheet-Regular'!E17-'Timesheet-Regular'!D17)+1,HOUR('Timesheet-Regular'!E17-'Timesheet-Regular'!D17))=9,'Timesheet-Regular'!F17&gt;8),0,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17+TIME(9,1,0)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=9,'Timesheet-Regular'!F17&gt;8),'Timesheet-Regular'!D17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'Timesheet-Regular'!D17+TIME(9,1,0),0))))))))),"")</f>
        <v>0</v>
      </c>
      <c r="C10" s="71">
        <f>IF(B10&gt;0,'Timesheet-Regular'!E17,0)</f>
        <v>0</v>
      </c>
      <c r="D10" s="79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MINUTE(C10-B10)&gt;0,HOUR(C10-B10)+1,HOUR(C10-B10)),IF(MINUTE(C10-B10)&gt;29,HOUR(C10-B10)+1,HOUR(C10-B10)))</f>
        <v>0</v>
      </c>
      <c r="E10" s="240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SUM(Sheet2!D10:D11),0)</f>
        <v>0</v>
      </c>
      <c r="F10" s="78" t="str">
        <f>IFERROR(IF(B10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B10&gt;0,"Yes","")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=12,'Timesheet-Regular'!F17&gt;11),"Yes",
IF(AND(IF(MINUTE('Timesheet-Regular'!E17-'Timesheet-Regular'!D17)&gt;29,HOUR('Timesheet-Regular'!E17-'Timesheet-Regular'!D17)+1,HOUR('Timesheet-Regular'!E17-'Timesheet-Regular'!D17))=12,'Timesheet-Regular'!F17&gt;11),"",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=12,'Timesheet-Regular'!F17&gt;11),"Yes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No"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"Yes","")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=9,'Timesheet-Regular'!F17&gt;8),"Yes",
IF(AND(IF(MINUTE('Timesheet-Regular'!E17-'Timesheet-Regular'!D17)&gt;29,HOUR('Timesheet-Regular'!E17-'Timesheet-Regular'!D17)+1,HOUR('Timesheet-Regular'!E17-'Timesheet-Regular'!D17))=9,'Timesheet-Regular'!F17&gt;8),"",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=9,'Timesheet-Regular'!F17&gt;8),"Yes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No"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"Yes",""))))))))),"")</f>
        <v/>
      </c>
      <c r="G10" s="78">
        <f>C10-B10</f>
        <v>0</v>
      </c>
      <c r="H10" s="240">
        <f>SUM(Sheet2!D10:D11)</f>
        <v>0</v>
      </c>
      <c r="I10" s="203"/>
      <c r="J10" s="204"/>
      <c r="K10" s="204"/>
      <c r="L10" s="204"/>
      <c r="M10" s="204"/>
      <c r="N10" s="204"/>
      <c r="O10" s="204"/>
      <c r="P10" s="205"/>
    </row>
    <row r="11" spans="1:17" ht="15.5" x14ac:dyDescent="0.35">
      <c r="A11" s="134"/>
      <c r="B11" s="71">
        <f>IF('Timesheet-Regular'!J18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IF('Timesheet-Regular'!D17=0,0,'Timesheet-Regular'!D18),
IF('Timesheet-Regular'!D18=0,0,
IF('Timesheet-Regular'!$D$2="Sapta Sarana Sejahtera (Exim Bank)",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11),'Timesheet-Regular'!E18-TIME(('Timesheet-Regular'!F17-10)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11),'Timesheet-Regular'!D18,
IF(AND(IF(MINUTE('Timesheet-Regular'!E17-'Timesheet-Regular'!D17)&gt;29,HOUR('Timesheet-Regular'!E17-'Timesheet-Regular'!D17)+1,HOUR('Timesheet-Regular'!E17-'Timesheet-Regular'!D17))=11,'Timesheet-Regular'!F17&gt;11),'Timesheet-Regular'!D18,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IF('Timesheet-Regular'!$D$2="Bank Permata",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18-TIME(('Timesheet-Regular'!F17-9)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18,
IF(AND(IF(MINUTE('Timesheet-Regular'!E17-'Timesheet-Regular'!D17)&gt;29,HOUR('Timesheet-Regular'!E17-'Timesheet-Regular'!D17)+1,HOUR('Timesheet-Regular'!E17-'Timesheet-Regular'!D17))=11,'Timesheet-Regular'!F17&gt;10),'Timesheet-Regular'!D18,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18-TIME(('Timesheet-Regular'!F17-8),0,0)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18,
IF(AND(IF(MINUTE('Timesheet-Regular'!E17-'Timesheet-Regular'!D17)&gt;29,HOUR('Timesheet-Regular'!E17-'Timesheet-Regular'!D17)+1,HOUR('Timesheet-Regular'!E17-'Timesheet-Regular'!D17))=9,'Timesheet-Regular'!F17&gt;8),'Timesheet-Regular'!D18,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'Timesheet-Regular'!D18+TIME(9,1,0),
IF(AND((IF(MINUTE('Timesheet-Regular'!E17-'Timesheet-Regular'!D17)&gt;29,HOUR('Timesheet-Regular'!E17-'Timesheet-Regular'!D17)+1,HOUR('Timesheet-Regular'!E17-'Timesheet-Regular'!D17))&gt;=9),(IF(MINUTE('Timesheet-Regular'!E18-'Timesheet-Regular'!D18)&gt;29,HOUR('Timesheet-Regular'!E18-'Timesheet-Regular'!D18)+1,HOUR('Timesheet-Regular'!E18-'Timesheet-Regular'!D18))&gt;=9)),'Timesheet-Regular'!D18,0))))))))))</f>
        <v>0</v>
      </c>
      <c r="C11" s="71">
        <f>IF(B11&gt;0,'Timesheet-Regular'!E18,0)</f>
        <v>0</v>
      </c>
      <c r="D11" s="79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AND(B11&gt;0,B11&lt;=C10),0,IF(MINUTE(C11-B11)&gt;0,HOUR(C11-B11)+1,HOUR(C11-B11))),IF(AND(B11&gt;0,B11&lt;=C10),0,IF(MINUTE(C11-B11)&gt;29,HOUR(C11-B11)+1,HOUR(C11-B11))))</f>
        <v>0</v>
      </c>
      <c r="E11" s="241"/>
      <c r="F11" s="78" t="str">
        <f>IFERROR(IF(B11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IF(AND(B11&gt;0,B11&lt;=C10),0,IF(B11=0,"","Yes")),
IF('Timesheet-Regular'!$D$2="Rabobank",
IF('Timesheet-Regular'!D18=0,"",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Yes",
IF(AND(IF(MINUTE('Timesheet-Regular'!E17-'Timesheet-Regular'!D17)&gt;29,HOUR('Timesheet-Regular'!E17-'Timesheet-Regular'!D17)+1,HOUR('Timesheet-Regular'!E17-'Timesheet-Regular'!D17))=12,IF(MINUTE('Timesheet-Regular'!E18-'Timesheet-Regular'!D18)&gt;29,HOUR('Timesheet-Regular'!E18-'Timesheet-Regular'!D18)+1,HOUR('Timesheet-Regular'!E18-'Timesheet-Regular'!D18))&gt;0,'Timesheet-Regular'!F17&gt;11),"Yes",
IF(AND(IF(MINUTE('Timesheet-Regular'!E18-'Timesheet-Regular'!D18)&gt;29,HOUR('Timesheet-Regular'!E18-'Timesheet-Regular'!D18)+1,HOUR('Timesheet-Regular'!E18-'Timesheet-Regular'!D18))=12,'Timesheet-Regular'!F17&gt;11),"",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Yes","No")))))),
IF('Timesheet-Regular'!D18=0,"",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Yes",
IF(AND(IF(MINUTE('Timesheet-Regular'!E17-'Timesheet-Regular'!D17)&gt;29,HOUR('Timesheet-Regular'!E17-'Timesheet-Regular'!D17)+1,HOUR('Timesheet-Regular'!E17-'Timesheet-Regular'!D17))=9,IF(MINUTE('Timesheet-Regular'!E18-'Timesheet-Regular'!D18)&gt;29,HOUR('Timesheet-Regular'!E18-'Timesheet-Regular'!D18)+1,HOUR('Timesheet-Regular'!E18-'Timesheet-Regular'!D18))&gt;0,'Timesheet-Regular'!F17&gt;8),"Yes",
IF(AND(IF(MINUTE('Timesheet-Regular'!E18-'Timesheet-Regular'!D18)&gt;29,HOUR('Timesheet-Regular'!E18-'Timesheet-Regular'!D18)+1,HOUR('Timesheet-Regular'!E18-'Timesheet-Regular'!D18))=9,'Timesheet-Regular'!F17&gt;8),"",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Yes","No"))))))))),"")</f>
        <v/>
      </c>
      <c r="G11" s="78">
        <f t="shared" ref="G11:G12" si="1">C11-B11</f>
        <v>0</v>
      </c>
      <c r="H11" s="241"/>
      <c r="I11" s="203"/>
      <c r="J11" s="204"/>
      <c r="K11" s="204"/>
      <c r="L11" s="204"/>
      <c r="M11" s="204"/>
      <c r="N11" s="204"/>
      <c r="O11" s="204"/>
      <c r="P11" s="205"/>
    </row>
    <row r="12" spans="1:17" ht="15.5" x14ac:dyDescent="0.35">
      <c r="A12" s="133">
        <f>'Timesheet-Regular'!C19</f>
        <v>44747</v>
      </c>
      <c r="B12" s="71">
        <f>IFERROR(
IF('Timesheet-Regular'!J19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IF('Timesheet-Regular'!J19=0,0,'Timesheet-Regular'!D19),
IF('Timesheet-Regular'!$D$2="Sapta Sarana Sejahtera (Exim Bank)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IF('Timesheet-Regular'!$D$2="Bank Permata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19-TIME(('Timesheet-Regular'!F19-8),0,0),
IF(AND(IF(MINUTE('Timesheet-Regular'!E19-'Timesheet-Regular'!D19)&gt;29,HOUR('Timesheet-Regular'!E19-'Timesheet-Regular'!D19)+1,HOUR('Timesheet-Regular'!E19-'Timesheet-Regular'!D19))=9,'Timesheet-Regular'!F19&gt;8),0,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19+TIME(9,1,0)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=9,'Timesheet-Regular'!F19&gt;8),'Timesheet-Regular'!D19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'Timesheet-Regular'!D19+TIME(9,1,0),0))))))))),"")</f>
        <v>0</v>
      </c>
      <c r="C12" s="71">
        <f>IF(B12&gt;0,'Timesheet-Regular'!E19,0)</f>
        <v>0</v>
      </c>
      <c r="D12" s="79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MINUTE(C12-B12)&gt;0,HOUR(C12-B12)+1,HOUR(C12-B12)),IF(MINUTE(C12-B12)&gt;29,HOUR(C12-B12)+1,HOUR(C12-B12)))</f>
        <v>0</v>
      </c>
      <c r="E12" s="240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SUM(Sheet2!D12:D13),0)</f>
        <v>0</v>
      </c>
      <c r="F12" s="78" t="str">
        <f>IFERROR(IF(B12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B12&gt;0,"Yes","")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=12,'Timesheet-Regular'!F19&gt;11),"Yes",
IF(AND(IF(MINUTE('Timesheet-Regular'!E19-'Timesheet-Regular'!D19)&gt;29,HOUR('Timesheet-Regular'!E19-'Timesheet-Regular'!D19)+1,HOUR('Timesheet-Regular'!E19-'Timesheet-Regular'!D19))=12,'Timesheet-Regular'!F19&gt;11),"",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=12,'Timesheet-Regular'!F19&gt;11),"Yes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No"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"Yes","")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=9,'Timesheet-Regular'!F19&gt;8),"Yes",
IF(AND(IF(MINUTE('Timesheet-Regular'!E19-'Timesheet-Regular'!D19)&gt;29,HOUR('Timesheet-Regular'!E19-'Timesheet-Regular'!D19)+1,HOUR('Timesheet-Regular'!E19-'Timesheet-Regular'!D19))=9,'Timesheet-Regular'!F19&gt;8),"",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=9,'Timesheet-Regular'!F19&gt;8),"Yes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No"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"Yes",""))))))))),"")</f>
        <v/>
      </c>
      <c r="G12" s="78">
        <f t="shared" si="1"/>
        <v>0</v>
      </c>
      <c r="H12" s="240">
        <f>SUM(Sheet2!D12:D13)</f>
        <v>0</v>
      </c>
      <c r="I12" s="203"/>
      <c r="J12" s="204"/>
      <c r="K12" s="204"/>
      <c r="L12" s="204"/>
      <c r="M12" s="204"/>
      <c r="N12" s="204"/>
      <c r="O12" s="204"/>
      <c r="P12" s="205"/>
    </row>
    <row r="13" spans="1:17" ht="15.5" x14ac:dyDescent="0.35">
      <c r="A13" s="134"/>
      <c r="B13" s="71">
        <f>IF('Timesheet-Regular'!J20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IF('Timesheet-Regular'!D19=0,0,'Timesheet-Regular'!D20),
IF('Timesheet-Regular'!D20=0,0,
IF('Timesheet-Regular'!$D$2="Sapta Sarana Sejahtera (Exim Bank)",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11),'Timesheet-Regular'!E20-TIME(('Timesheet-Regular'!F19-10)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11),'Timesheet-Regular'!D20,
IF(AND(IF(MINUTE('Timesheet-Regular'!E19-'Timesheet-Regular'!D19)&gt;29,HOUR('Timesheet-Regular'!E19-'Timesheet-Regular'!D19)+1,HOUR('Timesheet-Regular'!E19-'Timesheet-Regular'!D19))=11,'Timesheet-Regular'!F19&gt;11),'Timesheet-Regular'!D20,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IF('Timesheet-Regular'!$D$2="Bank Permata",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20-TIME(('Timesheet-Regular'!F19-9)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20,
IF(AND(IF(MINUTE('Timesheet-Regular'!E19-'Timesheet-Regular'!D19)&gt;29,HOUR('Timesheet-Regular'!E19-'Timesheet-Regular'!D19)+1,HOUR('Timesheet-Regular'!E19-'Timesheet-Regular'!D19))=11,'Timesheet-Regular'!F19&gt;10),'Timesheet-Regular'!D20,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20-TIME(('Timesheet-Regular'!F19-8),0,0)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20,
IF(AND(IF(MINUTE('Timesheet-Regular'!E19-'Timesheet-Regular'!D19)&gt;29,HOUR('Timesheet-Regular'!E19-'Timesheet-Regular'!D19)+1,HOUR('Timesheet-Regular'!E19-'Timesheet-Regular'!D19))=9,'Timesheet-Regular'!F19&gt;8),'Timesheet-Regular'!D20,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'Timesheet-Regular'!D20+TIME(9,1,0),
IF(AND((IF(MINUTE('Timesheet-Regular'!E19-'Timesheet-Regular'!D19)&gt;29,HOUR('Timesheet-Regular'!E19-'Timesheet-Regular'!D19)+1,HOUR('Timesheet-Regular'!E19-'Timesheet-Regular'!D19))&gt;=9),(IF(MINUTE('Timesheet-Regular'!E20-'Timesheet-Regular'!D20)&gt;29,HOUR('Timesheet-Regular'!E20-'Timesheet-Regular'!D20)+1,HOUR('Timesheet-Regular'!E20-'Timesheet-Regular'!D20))&gt;=9)),'Timesheet-Regular'!D20,0))))))))))</f>
        <v>0</v>
      </c>
      <c r="C13" s="71">
        <f>IF(B13&gt;0,'Timesheet-Regular'!E20,0)</f>
        <v>0</v>
      </c>
      <c r="D13" s="79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AND(B13&gt;0,B13&lt;=C12),0,IF(MINUTE(C13-B13)&gt;0,HOUR(C13-B13)+1,HOUR(C13-B13))),IF(AND(B13&gt;0,B13&lt;=C12),0,IF(MINUTE(C13-B13)&gt;29,HOUR(C13-B13)+1,HOUR(C13-B13))))</f>
        <v>0</v>
      </c>
      <c r="E13" s="241"/>
      <c r="F13" s="78" t="str">
        <f>IFERROR(IF(B13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IF(AND(B13&gt;0,B13&lt;=C12),0,IF(B13=0,"","Yes")),
IF('Timesheet-Regular'!$D$2="Rabobank",
IF('Timesheet-Regular'!D20=0,"",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Yes",
IF(AND(IF(MINUTE('Timesheet-Regular'!E19-'Timesheet-Regular'!D19)&gt;29,HOUR('Timesheet-Regular'!E19-'Timesheet-Regular'!D19)+1,HOUR('Timesheet-Regular'!E19-'Timesheet-Regular'!D19))=12,IF(MINUTE('Timesheet-Regular'!E20-'Timesheet-Regular'!D20)&gt;29,HOUR('Timesheet-Regular'!E20-'Timesheet-Regular'!D20)+1,HOUR('Timesheet-Regular'!E20-'Timesheet-Regular'!D20))&gt;0,'Timesheet-Regular'!F19&gt;11),"Yes",
IF(AND(IF(MINUTE('Timesheet-Regular'!E20-'Timesheet-Regular'!D20)&gt;29,HOUR('Timesheet-Regular'!E20-'Timesheet-Regular'!D20)+1,HOUR('Timesheet-Regular'!E20-'Timesheet-Regular'!D20))=12,'Timesheet-Regular'!F19&gt;11),"",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Yes","No")))))),
IF('Timesheet-Regular'!D20=0,"",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Yes",
IF(AND(IF(MINUTE('Timesheet-Regular'!E19-'Timesheet-Regular'!D19)&gt;29,HOUR('Timesheet-Regular'!E19-'Timesheet-Regular'!D19)+1,HOUR('Timesheet-Regular'!E19-'Timesheet-Regular'!D19))=9,IF(MINUTE('Timesheet-Regular'!E20-'Timesheet-Regular'!D20)&gt;29,HOUR('Timesheet-Regular'!E20-'Timesheet-Regular'!D20)+1,HOUR('Timesheet-Regular'!E20-'Timesheet-Regular'!D20))&gt;0,'Timesheet-Regular'!F19&gt;8),"Yes",
IF(AND(IF(MINUTE('Timesheet-Regular'!E20-'Timesheet-Regular'!D20)&gt;29,HOUR('Timesheet-Regular'!E20-'Timesheet-Regular'!D20)+1,HOUR('Timesheet-Regular'!E20-'Timesheet-Regular'!D20))=9,'Timesheet-Regular'!F19&gt;8),"",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Yes","No"))))))))),"")</f>
        <v/>
      </c>
      <c r="G13" s="78">
        <f t="shared" si="0"/>
        <v>0</v>
      </c>
      <c r="H13" s="241"/>
      <c r="I13" s="203"/>
      <c r="J13" s="204"/>
      <c r="K13" s="204"/>
      <c r="L13" s="204"/>
      <c r="M13" s="204"/>
      <c r="N13" s="204"/>
      <c r="O13" s="204"/>
      <c r="P13" s="205"/>
    </row>
    <row r="14" spans="1:17" ht="15.5" x14ac:dyDescent="0.35">
      <c r="A14" s="133">
        <f>'Timesheet-Regular'!C21</f>
        <v>44748</v>
      </c>
      <c r="B14" s="71">
        <f>IFERROR(
IF('Timesheet-Regular'!J21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IF('Timesheet-Regular'!J21=0,0,'Timesheet-Regular'!D21),
IF('Timesheet-Regular'!$D$2="Sapta Sarana Sejahtera (Exim Bank)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IF('Timesheet-Regular'!$D$2="Bank Permata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21-TIME(('Timesheet-Regular'!F21-8),0,0),
IF(AND(IF(MINUTE('Timesheet-Regular'!E21-'Timesheet-Regular'!D21)&gt;29,HOUR('Timesheet-Regular'!E21-'Timesheet-Regular'!D21)+1,HOUR('Timesheet-Regular'!E21-'Timesheet-Regular'!D21))=9,'Timesheet-Regular'!F21&gt;8),0,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21+TIME(9,1,0)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=9,'Timesheet-Regular'!F21&gt;8),'Timesheet-Regular'!D21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'Timesheet-Regular'!D21+TIME(9,1,0),0))))))))),"")</f>
        <v>0</v>
      </c>
      <c r="C14" s="71">
        <f>IF(B14&gt;0,'Timesheet-Regular'!E21,0)</f>
        <v>0</v>
      </c>
      <c r="D14" s="79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MINUTE(C14-B14)&gt;0,HOUR(C14-B14)+1,HOUR(C14-B14)),IF(MINUTE(C14-B14)&gt;29,HOUR(C14-B14)+1,HOUR(C14-B14)))</f>
        <v>0</v>
      </c>
      <c r="E14" s="240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SUM(Sheet2!D14:D15),0)</f>
        <v>0</v>
      </c>
      <c r="F14" s="78" t="str">
        <f>IFERROR(IF(B14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B14&gt;0,"Yes","")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=12,'Timesheet-Regular'!F21&gt;11),"Yes",
IF(AND(IF(MINUTE('Timesheet-Regular'!E21-'Timesheet-Regular'!D21)&gt;29,HOUR('Timesheet-Regular'!E21-'Timesheet-Regular'!D21)+1,HOUR('Timesheet-Regular'!E21-'Timesheet-Regular'!D21))=12,'Timesheet-Regular'!F21&gt;11),"",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=12,'Timesheet-Regular'!F21&gt;11),"Yes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No"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"Yes","")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=9,'Timesheet-Regular'!F21&gt;8),"Yes",
IF(AND(IF(MINUTE('Timesheet-Regular'!E21-'Timesheet-Regular'!D21)&gt;29,HOUR('Timesheet-Regular'!E21-'Timesheet-Regular'!D21)+1,HOUR('Timesheet-Regular'!E21-'Timesheet-Regular'!D21))=9,'Timesheet-Regular'!F21&gt;8),"",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=9,'Timesheet-Regular'!F21&gt;8),"Yes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No"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"Yes",""))))))))),"")</f>
        <v/>
      </c>
      <c r="G14" s="78">
        <f t="shared" si="0"/>
        <v>0</v>
      </c>
      <c r="H14" s="240">
        <f>SUM(Sheet2!D14:D15)</f>
        <v>0</v>
      </c>
      <c r="I14" s="203"/>
      <c r="J14" s="204"/>
      <c r="K14" s="204"/>
      <c r="L14" s="204"/>
      <c r="M14" s="204"/>
      <c r="N14" s="204"/>
      <c r="O14" s="204"/>
      <c r="P14" s="205"/>
    </row>
    <row r="15" spans="1:17" ht="15.5" x14ac:dyDescent="0.35">
      <c r="A15" s="134"/>
      <c r="B15" s="71">
        <f>IF('Timesheet-Regular'!J22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IF('Timesheet-Regular'!D21=0,0,'Timesheet-Regular'!D22),
IF('Timesheet-Regular'!D22=0,0,
IF('Timesheet-Regular'!$D$2="Sapta Sarana Sejahtera (Exim Bank)",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11),'Timesheet-Regular'!E22-TIME(('Timesheet-Regular'!F21-10)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11),'Timesheet-Regular'!D22,
IF(AND(IF(MINUTE('Timesheet-Regular'!E21-'Timesheet-Regular'!D21)&gt;29,HOUR('Timesheet-Regular'!E21-'Timesheet-Regular'!D21)+1,HOUR('Timesheet-Regular'!E21-'Timesheet-Regular'!D21))=11,'Timesheet-Regular'!F21&gt;11),'Timesheet-Regular'!D22,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IF('Timesheet-Regular'!$D$2="Bank Permata",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22-TIME(('Timesheet-Regular'!F21-9)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22,
IF(AND(IF(MINUTE('Timesheet-Regular'!E21-'Timesheet-Regular'!D21)&gt;29,HOUR('Timesheet-Regular'!E21-'Timesheet-Regular'!D21)+1,HOUR('Timesheet-Regular'!E21-'Timesheet-Regular'!D21))=11,'Timesheet-Regular'!F21&gt;10),'Timesheet-Regular'!D22,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22-TIME(('Timesheet-Regular'!F21-8),0,0)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22,
IF(AND(IF(MINUTE('Timesheet-Regular'!E21-'Timesheet-Regular'!D21)&gt;29,HOUR('Timesheet-Regular'!E21-'Timesheet-Regular'!D21)+1,HOUR('Timesheet-Regular'!E21-'Timesheet-Regular'!D21))=9,'Timesheet-Regular'!F21&gt;8),'Timesheet-Regular'!D22,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'Timesheet-Regular'!D22+TIME(9,1,0),
IF(AND((IF(MINUTE('Timesheet-Regular'!E21-'Timesheet-Regular'!D21)&gt;29,HOUR('Timesheet-Regular'!E21-'Timesheet-Regular'!D21)+1,HOUR('Timesheet-Regular'!E21-'Timesheet-Regular'!D21))&gt;=9),(IF(MINUTE('Timesheet-Regular'!E22-'Timesheet-Regular'!D22)&gt;29,HOUR('Timesheet-Regular'!E22-'Timesheet-Regular'!D22)+1,HOUR('Timesheet-Regular'!E22-'Timesheet-Regular'!D22))&gt;=9)),'Timesheet-Regular'!D22,0))))))))))</f>
        <v>0</v>
      </c>
      <c r="C15" s="71">
        <f>IF(B15&gt;0,'Timesheet-Regular'!E22,0)</f>
        <v>0</v>
      </c>
      <c r="D15" s="79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AND(B15&gt;0,B15&lt;=C14),0,IF(MINUTE(C15-B15)&gt;0,HOUR(C15-B15)+1,HOUR(C15-B15))),IF(AND(B15&gt;0,B15&lt;=C14),0,IF(MINUTE(C15-B15)&gt;29,HOUR(C15-B15)+1,HOUR(C15-B15))))</f>
        <v>0</v>
      </c>
      <c r="E15" s="241"/>
      <c r="F15" s="78" t="str">
        <f>IFERROR(IF(B15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IF(AND(B15&gt;0,B15&lt;=C14),0,IF(B15=0,"","Yes")),
IF('Timesheet-Regular'!$D$2="Rabobank",
IF('Timesheet-Regular'!D22=0,"",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Yes",
IF(AND(IF(MINUTE('Timesheet-Regular'!E21-'Timesheet-Regular'!D21)&gt;29,HOUR('Timesheet-Regular'!E21-'Timesheet-Regular'!D21)+1,HOUR('Timesheet-Regular'!E21-'Timesheet-Regular'!D21))=12,IF(MINUTE('Timesheet-Regular'!E22-'Timesheet-Regular'!D22)&gt;29,HOUR('Timesheet-Regular'!E22-'Timesheet-Regular'!D22)+1,HOUR('Timesheet-Regular'!E22-'Timesheet-Regular'!D22))&gt;0,'Timesheet-Regular'!F21&gt;11),"Yes",
IF(AND(IF(MINUTE('Timesheet-Regular'!E22-'Timesheet-Regular'!D22)&gt;29,HOUR('Timesheet-Regular'!E22-'Timesheet-Regular'!D22)+1,HOUR('Timesheet-Regular'!E22-'Timesheet-Regular'!D22))=12,'Timesheet-Regular'!F21&gt;11),"",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Yes","No")))))),
IF('Timesheet-Regular'!D22=0,"",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Yes",
IF(AND(IF(MINUTE('Timesheet-Regular'!E21-'Timesheet-Regular'!D21)&gt;29,HOUR('Timesheet-Regular'!E21-'Timesheet-Regular'!D21)+1,HOUR('Timesheet-Regular'!E21-'Timesheet-Regular'!D21))=9,IF(MINUTE('Timesheet-Regular'!E22-'Timesheet-Regular'!D22)&gt;29,HOUR('Timesheet-Regular'!E22-'Timesheet-Regular'!D22)+1,HOUR('Timesheet-Regular'!E22-'Timesheet-Regular'!D22))&gt;0,'Timesheet-Regular'!F21&gt;8),"Yes",
IF(AND(IF(MINUTE('Timesheet-Regular'!E22-'Timesheet-Regular'!D22)&gt;29,HOUR('Timesheet-Regular'!E22-'Timesheet-Regular'!D22)+1,HOUR('Timesheet-Regular'!E22-'Timesheet-Regular'!D22))=9,'Timesheet-Regular'!F21&gt;8),"",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Yes","No"))))))))),"")</f>
        <v/>
      </c>
      <c r="G15" s="78">
        <f t="shared" si="0"/>
        <v>0</v>
      </c>
      <c r="H15" s="241"/>
      <c r="I15" s="203"/>
      <c r="J15" s="204"/>
      <c r="K15" s="204"/>
      <c r="L15" s="204"/>
      <c r="M15" s="204"/>
      <c r="N15" s="204"/>
      <c r="O15" s="204"/>
      <c r="P15" s="205"/>
    </row>
    <row r="16" spans="1:17" ht="15.5" x14ac:dyDescent="0.35">
      <c r="A16" s="133">
        <f>'Timesheet-Regular'!C23</f>
        <v>44749</v>
      </c>
      <c r="B16" s="71">
        <f>IFERROR(
IF('Timesheet-Regular'!J23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IF('Timesheet-Regular'!J23=0,0,'Timesheet-Regular'!D23),
IF('Timesheet-Regular'!$D$2="Sapta Sarana Sejahtera (Exim Bank)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IF('Timesheet-Regular'!$D$2="Bank Permata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23-TIME(('Timesheet-Regular'!F23-8),0,0),
IF(AND(IF(MINUTE('Timesheet-Regular'!E23-'Timesheet-Regular'!D23)&gt;29,HOUR('Timesheet-Regular'!E23-'Timesheet-Regular'!D23)+1,HOUR('Timesheet-Regular'!E23-'Timesheet-Regular'!D23))=9,'Timesheet-Regular'!F23&gt;8),0,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23+TIME(9,1,0)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=9,'Timesheet-Regular'!F23&gt;8),'Timesheet-Regular'!D23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'Timesheet-Regular'!D23+TIME(9,1,0),0))))))))),"")</f>
        <v>0</v>
      </c>
      <c r="C16" s="71">
        <f>IF(B16&gt;0,'Timesheet-Regular'!E23,0)</f>
        <v>0</v>
      </c>
      <c r="D16" s="79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MINUTE(C16-B16)&gt;0,HOUR(C16-B16)+1,HOUR(C16-B16)),IF(MINUTE(C16-B16)&gt;29,HOUR(C16-B16)+1,HOUR(C16-B16)))</f>
        <v>0</v>
      </c>
      <c r="E16" s="240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SUM(Sheet2!D16:D17),0)</f>
        <v>0</v>
      </c>
      <c r="F16" s="78" t="str">
        <f>IFERROR(IF(B16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B16&gt;0,"Yes","")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=12,'Timesheet-Regular'!F23&gt;11),"Yes",
IF(AND(IF(MINUTE('Timesheet-Regular'!E23-'Timesheet-Regular'!D23)&gt;29,HOUR('Timesheet-Regular'!E23-'Timesheet-Regular'!D23)+1,HOUR('Timesheet-Regular'!E23-'Timesheet-Regular'!D23))=12,'Timesheet-Regular'!F23&gt;11),"",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=12,'Timesheet-Regular'!F23&gt;11),"Yes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No"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"Yes","")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=9,'Timesheet-Regular'!F23&gt;8),"Yes",
IF(AND(IF(MINUTE('Timesheet-Regular'!E23-'Timesheet-Regular'!D23)&gt;29,HOUR('Timesheet-Regular'!E23-'Timesheet-Regular'!D23)+1,HOUR('Timesheet-Regular'!E23-'Timesheet-Regular'!D23))=9,'Timesheet-Regular'!F23&gt;8),"",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=9,'Timesheet-Regular'!F23&gt;8),"Yes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No"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"Yes",""))))))))),"")</f>
        <v/>
      </c>
      <c r="G16" s="78">
        <f t="shared" si="0"/>
        <v>0</v>
      </c>
      <c r="H16" s="240">
        <f>SUM(Sheet2!D16:D17)</f>
        <v>0</v>
      </c>
      <c r="I16" s="203"/>
      <c r="J16" s="204"/>
      <c r="K16" s="204"/>
      <c r="L16" s="204"/>
      <c r="M16" s="204"/>
      <c r="N16" s="204"/>
      <c r="O16" s="204"/>
      <c r="P16" s="205"/>
    </row>
    <row r="17" spans="1:16" ht="15.5" x14ac:dyDescent="0.35">
      <c r="A17" s="134"/>
      <c r="B17" s="71">
        <f>IF('Timesheet-Regular'!J24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IF('Timesheet-Regular'!D23=0,0,'Timesheet-Regular'!D24),
IF('Timesheet-Regular'!D24=0,0,
IF('Timesheet-Regular'!$D$2="Sapta Sarana Sejahtera (Exim Bank)",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11),'Timesheet-Regular'!E24-TIME(('Timesheet-Regular'!F23-10)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11),'Timesheet-Regular'!D24,
IF(AND(IF(MINUTE('Timesheet-Regular'!E23-'Timesheet-Regular'!D23)&gt;29,HOUR('Timesheet-Regular'!E23-'Timesheet-Regular'!D23)+1,HOUR('Timesheet-Regular'!E23-'Timesheet-Regular'!D23))=11,'Timesheet-Regular'!F23&gt;11),'Timesheet-Regular'!D24,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IF('Timesheet-Regular'!$D$2="Bank Permata",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24-TIME(('Timesheet-Regular'!F23-9)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24,
IF(AND(IF(MINUTE('Timesheet-Regular'!E23-'Timesheet-Regular'!D23)&gt;29,HOUR('Timesheet-Regular'!E23-'Timesheet-Regular'!D23)+1,HOUR('Timesheet-Regular'!E23-'Timesheet-Regular'!D23))=11,'Timesheet-Regular'!F23&gt;10),'Timesheet-Regular'!D24,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24-TIME(('Timesheet-Regular'!F23-8),0,0)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24,
IF(AND(IF(MINUTE('Timesheet-Regular'!E23-'Timesheet-Regular'!D23)&gt;29,HOUR('Timesheet-Regular'!E23-'Timesheet-Regular'!D23)+1,HOUR('Timesheet-Regular'!E23-'Timesheet-Regular'!D23))=9,'Timesheet-Regular'!F23&gt;8),'Timesheet-Regular'!D24,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'Timesheet-Regular'!D24+TIME(9,1,0),
IF(AND((IF(MINUTE('Timesheet-Regular'!E23-'Timesheet-Regular'!D23)&gt;29,HOUR('Timesheet-Regular'!E23-'Timesheet-Regular'!D23)+1,HOUR('Timesheet-Regular'!E23-'Timesheet-Regular'!D23))&gt;=9),(IF(MINUTE('Timesheet-Regular'!E24-'Timesheet-Regular'!D24)&gt;29,HOUR('Timesheet-Regular'!E24-'Timesheet-Regular'!D24)+1,HOUR('Timesheet-Regular'!E24-'Timesheet-Regular'!D24))&gt;=9)),'Timesheet-Regular'!D24,0))))))))))</f>
        <v>0</v>
      </c>
      <c r="C17" s="71">
        <f>IF(B17&gt;0,'Timesheet-Regular'!E24,0)</f>
        <v>0</v>
      </c>
      <c r="D17" s="79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AND(B17&gt;0,B17&lt;=C16),0,IF(MINUTE(C17-B17)&gt;0,HOUR(C17-B17)+1,HOUR(C17-B17))),IF(AND(B17&gt;0,B17&lt;=C16),0,IF(MINUTE(C17-B17)&gt;29,HOUR(C17-B17)+1,HOUR(C17-B17))))</f>
        <v>0</v>
      </c>
      <c r="E17" s="241"/>
      <c r="F17" s="78" t="str">
        <f>IFERROR(IF(B17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IF(AND(B17&gt;0,B17&lt;=C16),0,IF(B17=0,"","Yes")),
IF('Timesheet-Regular'!$D$2="Rabobank",
IF('Timesheet-Regular'!D24=0,"",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Yes",
IF(AND(IF(MINUTE('Timesheet-Regular'!E23-'Timesheet-Regular'!D23)&gt;29,HOUR('Timesheet-Regular'!E23-'Timesheet-Regular'!D23)+1,HOUR('Timesheet-Regular'!E23-'Timesheet-Regular'!D23))=12,IF(MINUTE('Timesheet-Regular'!E24-'Timesheet-Regular'!D24)&gt;29,HOUR('Timesheet-Regular'!E24-'Timesheet-Regular'!D24)+1,HOUR('Timesheet-Regular'!E24-'Timesheet-Regular'!D24))&gt;0,'Timesheet-Regular'!F23&gt;11),"Yes",
IF(AND(IF(MINUTE('Timesheet-Regular'!E24-'Timesheet-Regular'!D24)&gt;29,HOUR('Timesheet-Regular'!E24-'Timesheet-Regular'!D24)+1,HOUR('Timesheet-Regular'!E24-'Timesheet-Regular'!D24))=12,'Timesheet-Regular'!F23&gt;11),"",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Yes","No")))))),
IF('Timesheet-Regular'!D24=0,"",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Yes",
IF(AND(IF(MINUTE('Timesheet-Regular'!E23-'Timesheet-Regular'!D23)&gt;29,HOUR('Timesheet-Regular'!E23-'Timesheet-Regular'!D23)+1,HOUR('Timesheet-Regular'!E23-'Timesheet-Regular'!D23))=9,IF(MINUTE('Timesheet-Regular'!E24-'Timesheet-Regular'!D24)&gt;29,HOUR('Timesheet-Regular'!E24-'Timesheet-Regular'!D24)+1,HOUR('Timesheet-Regular'!E24-'Timesheet-Regular'!D24))&gt;0,'Timesheet-Regular'!F23&gt;8),"Yes",
IF(AND(IF(MINUTE('Timesheet-Regular'!E24-'Timesheet-Regular'!D24)&gt;29,HOUR('Timesheet-Regular'!E24-'Timesheet-Regular'!D24)+1,HOUR('Timesheet-Regular'!E24-'Timesheet-Regular'!D24))=9,'Timesheet-Regular'!F23&gt;8),"",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Yes","No"))))))))),"")</f>
        <v/>
      </c>
      <c r="G17" s="78">
        <f t="shared" si="0"/>
        <v>0</v>
      </c>
      <c r="H17" s="241"/>
      <c r="I17" s="203"/>
      <c r="J17" s="204"/>
      <c r="K17" s="204"/>
      <c r="L17" s="204"/>
      <c r="M17" s="204"/>
      <c r="N17" s="204"/>
      <c r="O17" s="204"/>
      <c r="P17" s="205"/>
    </row>
    <row r="18" spans="1:16" ht="15.5" x14ac:dyDescent="0.35">
      <c r="A18" s="133">
        <f>'Timesheet-Regular'!C25</f>
        <v>44750</v>
      </c>
      <c r="B18" s="71">
        <f>IFERROR(
IF('Timesheet-Regular'!J25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IF('Timesheet-Regular'!J25=0,0,'Timesheet-Regular'!D25),
IF('Timesheet-Regular'!$D$2="Sapta Sarana Sejahtera (Exim Bank)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IF('Timesheet-Regular'!$D$2="Bank Permata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25-TIME(('Timesheet-Regular'!F25-8),0,0),
IF(AND(IF(MINUTE('Timesheet-Regular'!E25-'Timesheet-Regular'!D25)&gt;29,HOUR('Timesheet-Regular'!E25-'Timesheet-Regular'!D25)+1,HOUR('Timesheet-Regular'!E25-'Timesheet-Regular'!D25))=9,'Timesheet-Regular'!F25&gt;8),0,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25+TIME(9,1,0)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=9,'Timesheet-Regular'!F25&gt;8),'Timesheet-Regular'!D25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'Timesheet-Regular'!D25+TIME(9,1,0),0))))))))),"")</f>
        <v>0</v>
      </c>
      <c r="C18" s="71">
        <f>IF(B18&gt;0,'Timesheet-Regular'!E25,0)</f>
        <v>0</v>
      </c>
      <c r="D18" s="79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MINUTE(C18-B18)&gt;0,HOUR(C18-B18)+1,HOUR(C18-B18)),IF(MINUTE(C18-B18)&gt;29,HOUR(C18-B18)+1,HOUR(C18-B18)))</f>
        <v>0</v>
      </c>
      <c r="E18" s="240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SUM(Sheet2!D18:D19),0)</f>
        <v>0</v>
      </c>
      <c r="F18" s="78" t="str">
        <f>IFERROR(IF(B18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B18&gt;0,"Yes","")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=12,'Timesheet-Regular'!F25&gt;11),"Yes",
IF(AND(IF(MINUTE('Timesheet-Regular'!E25-'Timesheet-Regular'!D25)&gt;29,HOUR('Timesheet-Regular'!E25-'Timesheet-Regular'!D25)+1,HOUR('Timesheet-Regular'!E25-'Timesheet-Regular'!D25))=12,'Timesheet-Regular'!F25&gt;11),"",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=12,'Timesheet-Regular'!F25&gt;11),"Yes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No"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"Yes","")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=9,'Timesheet-Regular'!F25&gt;8),"Yes",
IF(AND(IF(MINUTE('Timesheet-Regular'!E25-'Timesheet-Regular'!D25)&gt;29,HOUR('Timesheet-Regular'!E25-'Timesheet-Regular'!D25)+1,HOUR('Timesheet-Regular'!E25-'Timesheet-Regular'!D25))=9,'Timesheet-Regular'!F25&gt;8),"",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=9,'Timesheet-Regular'!F25&gt;8),"Yes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No"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"Yes",""))))))))),"")</f>
        <v/>
      </c>
      <c r="G18" s="78">
        <f t="shared" si="0"/>
        <v>0</v>
      </c>
      <c r="H18" s="240">
        <f>SUM(Sheet2!D18:D19)</f>
        <v>0</v>
      </c>
      <c r="I18" s="203"/>
      <c r="J18" s="204"/>
      <c r="K18" s="204"/>
      <c r="L18" s="204"/>
      <c r="M18" s="204"/>
      <c r="N18" s="204"/>
      <c r="O18" s="204"/>
      <c r="P18" s="205"/>
    </row>
    <row r="19" spans="1:16" ht="15.5" x14ac:dyDescent="0.35">
      <c r="A19" s="134"/>
      <c r="B19" s="71">
        <f>IF('Timesheet-Regular'!J26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IF('Timesheet-Regular'!D25=0,0,'Timesheet-Regular'!D26),
IF('Timesheet-Regular'!D26=0,0,
IF('Timesheet-Regular'!$D$2="Sapta Sarana Sejahtera (Exim Bank)",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11),'Timesheet-Regular'!E26-TIME(('Timesheet-Regular'!F25-10)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11),'Timesheet-Regular'!D26,
IF(AND(IF(MINUTE('Timesheet-Regular'!E25-'Timesheet-Regular'!D25)&gt;29,HOUR('Timesheet-Regular'!E25-'Timesheet-Regular'!D25)+1,HOUR('Timesheet-Regular'!E25-'Timesheet-Regular'!D25))=11,'Timesheet-Regular'!F25&gt;11),'Timesheet-Regular'!D26,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IF('Timesheet-Regular'!$D$2="Bank Permata",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26-TIME(('Timesheet-Regular'!F25-9)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26,
IF(AND(IF(MINUTE('Timesheet-Regular'!E25-'Timesheet-Regular'!D25)&gt;29,HOUR('Timesheet-Regular'!E25-'Timesheet-Regular'!D25)+1,HOUR('Timesheet-Regular'!E25-'Timesheet-Regular'!D25))=11,'Timesheet-Regular'!F25&gt;10),'Timesheet-Regular'!D26,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26-TIME(('Timesheet-Regular'!F25-8),0,0)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26,
IF(AND(IF(MINUTE('Timesheet-Regular'!E25-'Timesheet-Regular'!D25)&gt;29,HOUR('Timesheet-Regular'!E25-'Timesheet-Regular'!D25)+1,HOUR('Timesheet-Regular'!E25-'Timesheet-Regular'!D25))=9,'Timesheet-Regular'!F25&gt;8),'Timesheet-Regular'!D26,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'Timesheet-Regular'!D26+TIME(9,1,0),
IF(AND((IF(MINUTE('Timesheet-Regular'!E25-'Timesheet-Regular'!D25)&gt;29,HOUR('Timesheet-Regular'!E25-'Timesheet-Regular'!D25)+1,HOUR('Timesheet-Regular'!E25-'Timesheet-Regular'!D25))&gt;=9),(IF(MINUTE('Timesheet-Regular'!E26-'Timesheet-Regular'!D26)&gt;29,HOUR('Timesheet-Regular'!E26-'Timesheet-Regular'!D26)+1,HOUR('Timesheet-Regular'!E26-'Timesheet-Regular'!D26))&gt;=9)),'Timesheet-Regular'!D26,0))))))))))</f>
        <v>0</v>
      </c>
      <c r="C19" s="71">
        <f>IF(B19&gt;0,'Timesheet-Regular'!E26,0)</f>
        <v>0</v>
      </c>
      <c r="D19" s="79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AND(B19&gt;0,B19&lt;=C18),0,IF(MINUTE(C19-B19)&gt;0,HOUR(C19-B19)+1,HOUR(C19-B19))),IF(AND(B19&gt;0,B19&lt;=C18),0,IF(MINUTE(C19-B19)&gt;29,HOUR(C19-B19)+1,HOUR(C19-B19))))</f>
        <v>0</v>
      </c>
      <c r="E19" s="241"/>
      <c r="F19" s="78" t="str">
        <f>IFERROR(IF(B19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IF(AND(B19&gt;0,B19&lt;=C18),0,IF(B19=0,"","Yes")),
IF('Timesheet-Regular'!$D$2="Rabobank",
IF('Timesheet-Regular'!D26=0,"",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Yes",
IF(AND(IF(MINUTE('Timesheet-Regular'!E25-'Timesheet-Regular'!D25)&gt;29,HOUR('Timesheet-Regular'!E25-'Timesheet-Regular'!D25)+1,HOUR('Timesheet-Regular'!E25-'Timesheet-Regular'!D25))=12,IF(MINUTE('Timesheet-Regular'!E26-'Timesheet-Regular'!D26)&gt;29,HOUR('Timesheet-Regular'!E26-'Timesheet-Regular'!D26)+1,HOUR('Timesheet-Regular'!E26-'Timesheet-Regular'!D26))&gt;0,'Timesheet-Regular'!F25&gt;11),"Yes",
IF(AND(IF(MINUTE('Timesheet-Regular'!E26-'Timesheet-Regular'!D26)&gt;29,HOUR('Timesheet-Regular'!E26-'Timesheet-Regular'!D26)+1,HOUR('Timesheet-Regular'!E26-'Timesheet-Regular'!D26))=12,'Timesheet-Regular'!F25&gt;11),"",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Yes","No")))))),
IF('Timesheet-Regular'!D26=0,"",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Yes",
IF(AND(IF(MINUTE('Timesheet-Regular'!E25-'Timesheet-Regular'!D25)&gt;29,HOUR('Timesheet-Regular'!E25-'Timesheet-Regular'!D25)+1,HOUR('Timesheet-Regular'!E25-'Timesheet-Regular'!D25))=9,IF(MINUTE('Timesheet-Regular'!E26-'Timesheet-Regular'!D26)&gt;29,HOUR('Timesheet-Regular'!E26-'Timesheet-Regular'!D26)+1,HOUR('Timesheet-Regular'!E26-'Timesheet-Regular'!D26))&gt;0,'Timesheet-Regular'!F25&gt;8),"Yes",
IF(AND(IF(MINUTE('Timesheet-Regular'!E26-'Timesheet-Regular'!D26)&gt;29,HOUR('Timesheet-Regular'!E26-'Timesheet-Regular'!D26)+1,HOUR('Timesheet-Regular'!E26-'Timesheet-Regular'!D26))=9,'Timesheet-Regular'!F25&gt;8),"",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Yes","No"))))))))),"")</f>
        <v/>
      </c>
      <c r="G19" s="78">
        <f t="shared" si="0"/>
        <v>0</v>
      </c>
      <c r="H19" s="241"/>
      <c r="I19" s="203"/>
      <c r="J19" s="204"/>
      <c r="K19" s="204"/>
      <c r="L19" s="204"/>
      <c r="M19" s="204"/>
      <c r="N19" s="204"/>
      <c r="O19" s="204"/>
      <c r="P19" s="205"/>
    </row>
    <row r="20" spans="1:16" ht="15.5" x14ac:dyDescent="0.35">
      <c r="A20" s="133">
        <f>'Timesheet-Regular'!C27</f>
        <v>44751</v>
      </c>
      <c r="B20" s="71">
        <f>IFERROR(
IF('Timesheet-Regular'!J27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IF('Timesheet-Regular'!J27=0,0,'Timesheet-Regular'!D27),
IF('Timesheet-Regular'!$D$2="Sapta Sarana Sejahtera (Exim Bank)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IF('Timesheet-Regular'!$D$2="Bank Permata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27-TIME(('Timesheet-Regular'!F27-8),0,0),
IF(AND(IF(MINUTE('Timesheet-Regular'!E27-'Timesheet-Regular'!D27)&gt;29,HOUR('Timesheet-Regular'!E27-'Timesheet-Regular'!D27)+1,HOUR('Timesheet-Regular'!E27-'Timesheet-Regular'!D27))=9,'Timesheet-Regular'!F27&gt;8),0,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27+TIME(9,1,0)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=9,'Timesheet-Regular'!F27&gt;8),'Timesheet-Regular'!D27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'Timesheet-Regular'!D27+TIME(9,1,0),0))))))))),"")</f>
        <v>0</v>
      </c>
      <c r="C20" s="71">
        <f>IF(B20&gt;0,'Timesheet-Regular'!E27,0)</f>
        <v>0</v>
      </c>
      <c r="D20" s="79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MINUTE(C20-B20)&gt;0,HOUR(C20-B20)+1,HOUR(C20-B20)),IF(MINUTE(C20-B20)&gt;29,HOUR(C20-B20)+1,HOUR(C20-B20)))</f>
        <v>0</v>
      </c>
      <c r="E20" s="240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SUM(Sheet2!D20:D21),0)</f>
        <v>0</v>
      </c>
      <c r="F20" s="78" t="str">
        <f>IFERROR(IF(B20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B20&gt;0,"Yes","")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=12,'Timesheet-Regular'!F27&gt;11),"Yes",
IF(AND(IF(MINUTE('Timesheet-Regular'!E27-'Timesheet-Regular'!D27)&gt;29,HOUR('Timesheet-Regular'!E27-'Timesheet-Regular'!D27)+1,HOUR('Timesheet-Regular'!E27-'Timesheet-Regular'!D27))=12,'Timesheet-Regular'!F27&gt;11),"",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=12,'Timesheet-Regular'!F27&gt;11),"Yes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No"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"Yes","")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=9,'Timesheet-Regular'!F27&gt;8),"Yes",
IF(AND(IF(MINUTE('Timesheet-Regular'!E27-'Timesheet-Regular'!D27)&gt;29,HOUR('Timesheet-Regular'!E27-'Timesheet-Regular'!D27)+1,HOUR('Timesheet-Regular'!E27-'Timesheet-Regular'!D27))=9,'Timesheet-Regular'!F27&gt;8),"",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=9,'Timesheet-Regular'!F27&gt;8),"Yes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No"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"Yes",""))))))))),"")</f>
        <v/>
      </c>
      <c r="G20" s="78">
        <f t="shared" si="0"/>
        <v>0</v>
      </c>
      <c r="H20" s="240">
        <f>SUM(Sheet2!D20:D21)</f>
        <v>0</v>
      </c>
      <c r="I20" s="203"/>
      <c r="J20" s="204"/>
      <c r="K20" s="204"/>
      <c r="L20" s="204"/>
      <c r="M20" s="204"/>
      <c r="N20" s="204"/>
      <c r="O20" s="204"/>
      <c r="P20" s="205"/>
    </row>
    <row r="21" spans="1:16" ht="15.5" x14ac:dyDescent="0.35">
      <c r="A21" s="134"/>
      <c r="B21" s="71">
        <f>IF('Timesheet-Regular'!J28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IF('Timesheet-Regular'!D27=0,0,'Timesheet-Regular'!D28),
IF('Timesheet-Regular'!D28=0,0,
IF('Timesheet-Regular'!$D$2="Sapta Sarana Sejahtera (Exim Bank)",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11),'Timesheet-Regular'!E28-TIME(('Timesheet-Regular'!F27-10)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11),'Timesheet-Regular'!D28,
IF(AND(IF(MINUTE('Timesheet-Regular'!E27-'Timesheet-Regular'!D27)&gt;29,HOUR('Timesheet-Regular'!E27-'Timesheet-Regular'!D27)+1,HOUR('Timesheet-Regular'!E27-'Timesheet-Regular'!D27))=11,'Timesheet-Regular'!F27&gt;11),'Timesheet-Regular'!D28,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IF('Timesheet-Regular'!$D$2="Bank Permata",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28-TIME(('Timesheet-Regular'!F27-9)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28,
IF(AND(IF(MINUTE('Timesheet-Regular'!E27-'Timesheet-Regular'!D27)&gt;29,HOUR('Timesheet-Regular'!E27-'Timesheet-Regular'!D27)+1,HOUR('Timesheet-Regular'!E27-'Timesheet-Regular'!D27))=11,'Timesheet-Regular'!F27&gt;10),'Timesheet-Regular'!D28,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28-TIME(('Timesheet-Regular'!F27-8),0,0)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28,
IF(AND(IF(MINUTE('Timesheet-Regular'!E27-'Timesheet-Regular'!D27)&gt;29,HOUR('Timesheet-Regular'!E27-'Timesheet-Regular'!D27)+1,HOUR('Timesheet-Regular'!E27-'Timesheet-Regular'!D27))=9,'Timesheet-Regular'!F27&gt;8),'Timesheet-Regular'!D28,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'Timesheet-Regular'!D28+TIME(9,1,0),
IF(AND((IF(MINUTE('Timesheet-Regular'!E27-'Timesheet-Regular'!D27)&gt;29,HOUR('Timesheet-Regular'!E27-'Timesheet-Regular'!D27)+1,HOUR('Timesheet-Regular'!E27-'Timesheet-Regular'!D27))&gt;=9),(IF(MINUTE('Timesheet-Regular'!E28-'Timesheet-Regular'!D28)&gt;29,HOUR('Timesheet-Regular'!E28-'Timesheet-Regular'!D28)+1,HOUR('Timesheet-Regular'!E28-'Timesheet-Regular'!D28))&gt;=9)),'Timesheet-Regular'!D28,0))))))))))</f>
        <v>0</v>
      </c>
      <c r="C21" s="71">
        <f>IF(B21&gt;0,'Timesheet-Regular'!E28,0)</f>
        <v>0</v>
      </c>
      <c r="D21" s="79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AND(B21&gt;0,B21&lt;=C20),0,IF(MINUTE(C21-B21)&gt;0,HOUR(C21-B21)+1,HOUR(C21-B21))),IF(AND(B21&gt;0,B21&lt;=C20),0,IF(MINUTE(C21-B21)&gt;29,HOUR(C21-B21)+1,HOUR(C21-B21))))</f>
        <v>0</v>
      </c>
      <c r="E21" s="241"/>
      <c r="F21" s="78" t="str">
        <f>IFERROR(IF(B21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IF(AND(B21&gt;0,B21&lt;=C20),0,IF(B21=0,"","Yes")),
IF('Timesheet-Regular'!$D$2="Rabobank",
IF('Timesheet-Regular'!D28=0,"",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Yes",
IF(AND(IF(MINUTE('Timesheet-Regular'!E27-'Timesheet-Regular'!D27)&gt;29,HOUR('Timesheet-Regular'!E27-'Timesheet-Regular'!D27)+1,HOUR('Timesheet-Regular'!E27-'Timesheet-Regular'!D27))=12,IF(MINUTE('Timesheet-Regular'!E28-'Timesheet-Regular'!D28)&gt;29,HOUR('Timesheet-Regular'!E28-'Timesheet-Regular'!D28)+1,HOUR('Timesheet-Regular'!E28-'Timesheet-Regular'!D28))&gt;0,'Timesheet-Regular'!F27&gt;11),"Yes",
IF(AND(IF(MINUTE('Timesheet-Regular'!E28-'Timesheet-Regular'!D28)&gt;29,HOUR('Timesheet-Regular'!E28-'Timesheet-Regular'!D28)+1,HOUR('Timesheet-Regular'!E28-'Timesheet-Regular'!D28))=12,'Timesheet-Regular'!F27&gt;11),"",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Yes","No")))))),
IF('Timesheet-Regular'!D28=0,"",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Yes",
IF(AND(IF(MINUTE('Timesheet-Regular'!E27-'Timesheet-Regular'!D27)&gt;29,HOUR('Timesheet-Regular'!E27-'Timesheet-Regular'!D27)+1,HOUR('Timesheet-Regular'!E27-'Timesheet-Regular'!D27))=9,IF(MINUTE('Timesheet-Regular'!E28-'Timesheet-Regular'!D28)&gt;29,HOUR('Timesheet-Regular'!E28-'Timesheet-Regular'!D28)+1,HOUR('Timesheet-Regular'!E28-'Timesheet-Regular'!D28))&gt;0,'Timesheet-Regular'!F27&gt;8),"Yes",
IF(AND(IF(MINUTE('Timesheet-Regular'!E28-'Timesheet-Regular'!D28)&gt;29,HOUR('Timesheet-Regular'!E28-'Timesheet-Regular'!D28)+1,HOUR('Timesheet-Regular'!E28-'Timesheet-Regular'!D28))=9,'Timesheet-Regular'!F27&gt;8),"",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Yes","No"))))))))),"")</f>
        <v/>
      </c>
      <c r="G21" s="78">
        <f t="shared" si="0"/>
        <v>0</v>
      </c>
      <c r="H21" s="241"/>
      <c r="I21" s="203"/>
      <c r="J21" s="204"/>
      <c r="K21" s="204"/>
      <c r="L21" s="204"/>
      <c r="M21" s="204"/>
      <c r="N21" s="204"/>
      <c r="O21" s="204"/>
      <c r="P21" s="205"/>
    </row>
    <row r="22" spans="1:16" ht="15.5" x14ac:dyDescent="0.35">
      <c r="A22" s="133">
        <f>'Timesheet-Regular'!C29</f>
        <v>44752</v>
      </c>
      <c r="B22" s="71">
        <f>IFERROR(
IF('Timesheet-Regular'!J29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IF('Timesheet-Regular'!J29=0,0,'Timesheet-Regular'!D29),
IF('Timesheet-Regular'!$D$2="Sapta Sarana Sejahtera (Exim Bank)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IF('Timesheet-Regular'!$D$2="Bank Permata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29-TIME(('Timesheet-Regular'!F29-8),0,0),
IF(AND(IF(MINUTE('Timesheet-Regular'!E29-'Timesheet-Regular'!D29)&gt;29,HOUR('Timesheet-Regular'!E29-'Timesheet-Regular'!D29)+1,HOUR('Timesheet-Regular'!E29-'Timesheet-Regular'!D29))=9,'Timesheet-Regular'!F29&gt;8),0,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29+TIME(9,1,0)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=9,'Timesheet-Regular'!F29&gt;8),'Timesheet-Regular'!D29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'Timesheet-Regular'!D29+TIME(9,1,0),0))))))))),"")</f>
        <v>0</v>
      </c>
      <c r="C22" s="71">
        <f>IF(B22&gt;0,'Timesheet-Regular'!E29,0)</f>
        <v>0</v>
      </c>
      <c r="D22" s="79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MINUTE(C22-B22)&gt;0,HOUR(C22-B22)+1,HOUR(C22-B22)),IF(MINUTE(C22-B22)&gt;29,HOUR(C22-B22)+1,HOUR(C22-B22)))</f>
        <v>0</v>
      </c>
      <c r="E22" s="240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SUM(Sheet2!D22:D23),0)</f>
        <v>0</v>
      </c>
      <c r="F22" s="78" t="str">
        <f>IFERROR(IF(B22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B22&gt;0,"Yes","")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=12,'Timesheet-Regular'!F29&gt;11),"Yes",
IF(AND(IF(MINUTE('Timesheet-Regular'!E29-'Timesheet-Regular'!D29)&gt;29,HOUR('Timesheet-Regular'!E29-'Timesheet-Regular'!D29)+1,HOUR('Timesheet-Regular'!E29-'Timesheet-Regular'!D29))=12,'Timesheet-Regular'!F29&gt;11),"",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=12,'Timesheet-Regular'!F29&gt;11),"Yes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No"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"Yes","")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=9,'Timesheet-Regular'!F29&gt;8),"Yes",
IF(AND(IF(MINUTE('Timesheet-Regular'!E29-'Timesheet-Regular'!D29)&gt;29,HOUR('Timesheet-Regular'!E29-'Timesheet-Regular'!D29)+1,HOUR('Timesheet-Regular'!E29-'Timesheet-Regular'!D29))=9,'Timesheet-Regular'!F29&gt;8),"",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=9,'Timesheet-Regular'!F29&gt;8),"Yes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No"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"Yes",""))))))))),"")</f>
        <v/>
      </c>
      <c r="G22" s="78">
        <f t="shared" si="0"/>
        <v>0</v>
      </c>
      <c r="H22" s="240">
        <f>SUM(Sheet2!D22:D23)</f>
        <v>0</v>
      </c>
      <c r="I22" s="203"/>
      <c r="J22" s="204"/>
      <c r="K22" s="204"/>
      <c r="L22" s="204"/>
      <c r="M22" s="204"/>
      <c r="N22" s="204"/>
      <c r="O22" s="204"/>
      <c r="P22" s="205"/>
    </row>
    <row r="23" spans="1:16" ht="15.5" x14ac:dyDescent="0.35">
      <c r="A23" s="134"/>
      <c r="B23" s="71">
        <f>IF('Timesheet-Regular'!J30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IF('Timesheet-Regular'!D29=0,0,'Timesheet-Regular'!D30),
IF('Timesheet-Regular'!D30=0,0,
IF('Timesheet-Regular'!$D$2="Sapta Sarana Sejahtera (Exim Bank)",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11),'Timesheet-Regular'!E30-TIME(('Timesheet-Regular'!F29-10)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11),'Timesheet-Regular'!D30,
IF(AND(IF(MINUTE('Timesheet-Regular'!E29-'Timesheet-Regular'!D29)&gt;29,HOUR('Timesheet-Regular'!E29-'Timesheet-Regular'!D29)+1,HOUR('Timesheet-Regular'!E29-'Timesheet-Regular'!D29))=11,'Timesheet-Regular'!F29&gt;11),'Timesheet-Regular'!D30,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IF('Timesheet-Regular'!$D$2="Bank Permata",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30-TIME(('Timesheet-Regular'!F29-9)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30,
IF(AND(IF(MINUTE('Timesheet-Regular'!E29-'Timesheet-Regular'!D29)&gt;29,HOUR('Timesheet-Regular'!E29-'Timesheet-Regular'!D29)+1,HOUR('Timesheet-Regular'!E29-'Timesheet-Regular'!D29))=11,'Timesheet-Regular'!F29&gt;10),'Timesheet-Regular'!D30,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30-TIME(('Timesheet-Regular'!F29-8),0,0)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30,
IF(AND(IF(MINUTE('Timesheet-Regular'!E29-'Timesheet-Regular'!D29)&gt;29,HOUR('Timesheet-Regular'!E29-'Timesheet-Regular'!D29)+1,HOUR('Timesheet-Regular'!E29-'Timesheet-Regular'!D29))=9,'Timesheet-Regular'!F29&gt;8),'Timesheet-Regular'!D30,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'Timesheet-Regular'!D30+TIME(9,1,0),
IF(AND((IF(MINUTE('Timesheet-Regular'!E29-'Timesheet-Regular'!D29)&gt;29,HOUR('Timesheet-Regular'!E29-'Timesheet-Regular'!D29)+1,HOUR('Timesheet-Regular'!E29-'Timesheet-Regular'!D29))&gt;=9),(IF(MINUTE('Timesheet-Regular'!E30-'Timesheet-Regular'!D30)&gt;29,HOUR('Timesheet-Regular'!E30-'Timesheet-Regular'!D30)+1,HOUR('Timesheet-Regular'!E30-'Timesheet-Regular'!D30))&gt;=9)),'Timesheet-Regular'!D30,0))))))))))</f>
        <v>0</v>
      </c>
      <c r="C23" s="71">
        <f>IF(B23&gt;0,'Timesheet-Regular'!E30,0)</f>
        <v>0</v>
      </c>
      <c r="D23" s="79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AND(B23&gt;0,B23&lt;=C22),0,IF(MINUTE(C23-B23)&gt;0,HOUR(C23-B23)+1,HOUR(C23-B23))),IF(AND(B23&gt;0,B23&lt;=C22),0,IF(MINUTE(C23-B23)&gt;29,HOUR(C23-B23)+1,HOUR(C23-B23))))</f>
        <v>0</v>
      </c>
      <c r="E23" s="241"/>
      <c r="F23" s="78" t="str">
        <f>IFERROR(IF(B23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IF(AND(B23&gt;0,B23&lt;=C22),0,IF(B23=0,"","Yes")),
IF('Timesheet-Regular'!$D$2="Rabobank",
IF('Timesheet-Regular'!D30=0,"",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Yes",
IF(AND(IF(MINUTE('Timesheet-Regular'!E29-'Timesheet-Regular'!D29)&gt;29,HOUR('Timesheet-Regular'!E29-'Timesheet-Regular'!D29)+1,HOUR('Timesheet-Regular'!E29-'Timesheet-Regular'!D29))=12,IF(MINUTE('Timesheet-Regular'!E30-'Timesheet-Regular'!D30)&gt;29,HOUR('Timesheet-Regular'!E30-'Timesheet-Regular'!D30)+1,HOUR('Timesheet-Regular'!E30-'Timesheet-Regular'!D30))&gt;0,'Timesheet-Regular'!F29&gt;11),"Yes",
IF(AND(IF(MINUTE('Timesheet-Regular'!E30-'Timesheet-Regular'!D30)&gt;29,HOUR('Timesheet-Regular'!E30-'Timesheet-Regular'!D30)+1,HOUR('Timesheet-Regular'!E30-'Timesheet-Regular'!D30))=12,'Timesheet-Regular'!F29&gt;11),"",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Yes","No")))))),
IF('Timesheet-Regular'!D30=0,"",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Yes",
IF(AND(IF(MINUTE('Timesheet-Regular'!E29-'Timesheet-Regular'!D29)&gt;29,HOUR('Timesheet-Regular'!E29-'Timesheet-Regular'!D29)+1,HOUR('Timesheet-Regular'!E29-'Timesheet-Regular'!D29))=9,IF(MINUTE('Timesheet-Regular'!E30-'Timesheet-Regular'!D30)&gt;29,HOUR('Timesheet-Regular'!E30-'Timesheet-Regular'!D30)+1,HOUR('Timesheet-Regular'!E30-'Timesheet-Regular'!D30))&gt;0,'Timesheet-Regular'!F29&gt;8),"Yes",
IF(AND(IF(MINUTE('Timesheet-Regular'!E30-'Timesheet-Regular'!D30)&gt;29,HOUR('Timesheet-Regular'!E30-'Timesheet-Regular'!D30)+1,HOUR('Timesheet-Regular'!E30-'Timesheet-Regular'!D30))=9,'Timesheet-Regular'!F29&gt;8),"",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Yes","No"))))))))),"")</f>
        <v/>
      </c>
      <c r="G23" s="78">
        <f t="shared" si="0"/>
        <v>0</v>
      </c>
      <c r="H23" s="241"/>
      <c r="I23" s="203"/>
      <c r="J23" s="204"/>
      <c r="K23" s="204"/>
      <c r="L23" s="204"/>
      <c r="M23" s="204"/>
      <c r="N23" s="204"/>
      <c r="O23" s="204"/>
      <c r="P23" s="205"/>
    </row>
    <row r="24" spans="1:16" ht="15.5" x14ac:dyDescent="0.35">
      <c r="A24" s="133">
        <f>'Timesheet-Regular'!C31</f>
        <v>44753</v>
      </c>
      <c r="B24" s="71">
        <f>IFERROR(
IF('Timesheet-Regular'!J31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IF('Timesheet-Regular'!J31=0,0,'Timesheet-Regular'!D31),
IF('Timesheet-Regular'!$D$2="Sapta Sarana Sejahtera (Exim Bank)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IF('Timesheet-Regular'!$D$2="Bank Permata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31-TIME(('Timesheet-Regular'!F31-8),0,0),
IF(AND(IF(MINUTE('Timesheet-Regular'!E31-'Timesheet-Regular'!D31)&gt;29,HOUR('Timesheet-Regular'!E31-'Timesheet-Regular'!D31)+1,HOUR('Timesheet-Regular'!E31-'Timesheet-Regular'!D31))=9,'Timesheet-Regular'!F31&gt;8),0,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31+TIME(9,1,0)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=9,'Timesheet-Regular'!F31&gt;8),'Timesheet-Regular'!D31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'Timesheet-Regular'!D31+TIME(9,1,0),0))))))))),"")</f>
        <v>0</v>
      </c>
      <c r="C24" s="71">
        <f>IF(B24&gt;0,'Timesheet-Regular'!E31,0)</f>
        <v>0</v>
      </c>
      <c r="D24" s="79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MINUTE(C24-B24)&gt;0,HOUR(C24-B24)+1,HOUR(C24-B24)),IF(MINUTE(C24-B24)&gt;29,HOUR(C24-B24)+1,HOUR(C24-B24)))</f>
        <v>0</v>
      </c>
      <c r="E24" s="240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SUM(Sheet2!D24:D25),0)</f>
        <v>0</v>
      </c>
      <c r="F24" s="78" t="str">
        <f>IFERROR(IF(B24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B24&gt;0,"Yes","")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=12,'Timesheet-Regular'!F31&gt;11),"Yes",
IF(AND(IF(MINUTE('Timesheet-Regular'!E31-'Timesheet-Regular'!D31)&gt;29,HOUR('Timesheet-Regular'!E31-'Timesheet-Regular'!D31)+1,HOUR('Timesheet-Regular'!E31-'Timesheet-Regular'!D31))=12,'Timesheet-Regular'!F31&gt;11),"",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=12,'Timesheet-Regular'!F31&gt;11),"Yes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No"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"Yes","")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=9,'Timesheet-Regular'!F31&gt;8),"Yes",
IF(AND(IF(MINUTE('Timesheet-Regular'!E31-'Timesheet-Regular'!D31)&gt;29,HOUR('Timesheet-Regular'!E31-'Timesheet-Regular'!D31)+1,HOUR('Timesheet-Regular'!E31-'Timesheet-Regular'!D31))=9,'Timesheet-Regular'!F31&gt;8),"",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=9,'Timesheet-Regular'!F31&gt;8),"Yes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No"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"Yes",""))))))))),"")</f>
        <v/>
      </c>
      <c r="G24" s="78">
        <f t="shared" si="0"/>
        <v>0</v>
      </c>
      <c r="H24" s="240">
        <f>SUM(Sheet2!D24:D25)</f>
        <v>0</v>
      </c>
      <c r="I24" s="203"/>
      <c r="J24" s="204"/>
      <c r="K24" s="204"/>
      <c r="L24" s="204"/>
      <c r="M24" s="204"/>
      <c r="N24" s="204"/>
      <c r="O24" s="204"/>
      <c r="P24" s="205"/>
    </row>
    <row r="25" spans="1:16" ht="15.5" x14ac:dyDescent="0.35">
      <c r="A25" s="134"/>
      <c r="B25" s="71">
        <f>IF('Timesheet-Regular'!J32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IF('Timesheet-Regular'!D31=0,0,'Timesheet-Regular'!D32),
IF('Timesheet-Regular'!D32=0,0,
IF('Timesheet-Regular'!$D$2="Sapta Sarana Sejahtera (Exim Bank)",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11),'Timesheet-Regular'!E32-TIME(('Timesheet-Regular'!F31-10)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11),'Timesheet-Regular'!D32,
IF(AND(IF(MINUTE('Timesheet-Regular'!E31-'Timesheet-Regular'!D31)&gt;29,HOUR('Timesheet-Regular'!E31-'Timesheet-Regular'!D31)+1,HOUR('Timesheet-Regular'!E31-'Timesheet-Regular'!D31))=11,'Timesheet-Regular'!F31&gt;11),'Timesheet-Regular'!D32,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IF('Timesheet-Regular'!$D$2="Bank Permata",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32-TIME(('Timesheet-Regular'!F31-9)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32,
IF(AND(IF(MINUTE('Timesheet-Regular'!E31-'Timesheet-Regular'!D31)&gt;29,HOUR('Timesheet-Regular'!E31-'Timesheet-Regular'!D31)+1,HOUR('Timesheet-Regular'!E31-'Timesheet-Regular'!D31))=11,'Timesheet-Regular'!F31&gt;10),'Timesheet-Regular'!D32,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32-TIME(('Timesheet-Regular'!F31-8),0,0)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32,
IF(AND(IF(MINUTE('Timesheet-Regular'!E31-'Timesheet-Regular'!D31)&gt;29,HOUR('Timesheet-Regular'!E31-'Timesheet-Regular'!D31)+1,HOUR('Timesheet-Regular'!E31-'Timesheet-Regular'!D31))=9,'Timesheet-Regular'!F31&gt;8),'Timesheet-Regular'!D32,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'Timesheet-Regular'!D32+TIME(9,1,0),
IF(AND((IF(MINUTE('Timesheet-Regular'!E31-'Timesheet-Regular'!D31)&gt;29,HOUR('Timesheet-Regular'!E31-'Timesheet-Regular'!D31)+1,HOUR('Timesheet-Regular'!E31-'Timesheet-Regular'!D31))&gt;=9),(IF(MINUTE('Timesheet-Regular'!E32-'Timesheet-Regular'!D32)&gt;29,HOUR('Timesheet-Regular'!E32-'Timesheet-Regular'!D32)+1,HOUR('Timesheet-Regular'!E32-'Timesheet-Regular'!D32))&gt;=9)),'Timesheet-Regular'!D32,0))))))))))</f>
        <v>0</v>
      </c>
      <c r="C25" s="71">
        <f>IF(B25&gt;0,'Timesheet-Regular'!E32,0)</f>
        <v>0</v>
      </c>
      <c r="D25" s="79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AND(B25&gt;0,B25&lt;=C24),0,IF(MINUTE(C25-B25)&gt;0,HOUR(C25-B25)+1,HOUR(C25-B25))),IF(AND(B25&gt;0,B25&lt;=C24),0,IF(MINUTE(C25-B25)&gt;29,HOUR(C25-B25)+1,HOUR(C25-B25))))</f>
        <v>0</v>
      </c>
      <c r="E25" s="241"/>
      <c r="F25" s="78" t="str">
        <f>IFERROR(IF(B25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IF(AND(B25&gt;0,B25&lt;=C24),0,IF(B25=0,"","Yes")),
IF('Timesheet-Regular'!$D$2="Rabobank",
IF('Timesheet-Regular'!D32=0,"",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Yes",
IF(AND(IF(MINUTE('Timesheet-Regular'!E31-'Timesheet-Regular'!D31)&gt;29,HOUR('Timesheet-Regular'!E31-'Timesheet-Regular'!D31)+1,HOUR('Timesheet-Regular'!E31-'Timesheet-Regular'!D31))=12,IF(MINUTE('Timesheet-Regular'!E32-'Timesheet-Regular'!D32)&gt;29,HOUR('Timesheet-Regular'!E32-'Timesheet-Regular'!D32)+1,HOUR('Timesheet-Regular'!E32-'Timesheet-Regular'!D32))&gt;0,'Timesheet-Regular'!F31&gt;11),"Yes",
IF(AND(IF(MINUTE('Timesheet-Regular'!E32-'Timesheet-Regular'!D32)&gt;29,HOUR('Timesheet-Regular'!E32-'Timesheet-Regular'!D32)+1,HOUR('Timesheet-Regular'!E32-'Timesheet-Regular'!D32))=12,'Timesheet-Regular'!F31&gt;11),"",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Yes","No")))))),
IF('Timesheet-Regular'!D32=0,"",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Yes",
IF(AND(IF(MINUTE('Timesheet-Regular'!E31-'Timesheet-Regular'!D31)&gt;29,HOUR('Timesheet-Regular'!E31-'Timesheet-Regular'!D31)+1,HOUR('Timesheet-Regular'!E31-'Timesheet-Regular'!D31))=9,IF(MINUTE('Timesheet-Regular'!E32-'Timesheet-Regular'!D32)&gt;29,HOUR('Timesheet-Regular'!E32-'Timesheet-Regular'!D32)+1,HOUR('Timesheet-Regular'!E32-'Timesheet-Regular'!D32))&gt;0,'Timesheet-Regular'!F31&gt;8),"Yes",
IF(AND(IF(MINUTE('Timesheet-Regular'!E32-'Timesheet-Regular'!D32)&gt;29,HOUR('Timesheet-Regular'!E32-'Timesheet-Regular'!D32)+1,HOUR('Timesheet-Regular'!E32-'Timesheet-Regular'!D32))=9,'Timesheet-Regular'!F31&gt;8),"",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Yes","No"))))))))),"")</f>
        <v/>
      </c>
      <c r="G25" s="78">
        <f t="shared" si="0"/>
        <v>0</v>
      </c>
      <c r="H25" s="241"/>
      <c r="I25" s="203"/>
      <c r="J25" s="204"/>
      <c r="K25" s="204"/>
      <c r="L25" s="204"/>
      <c r="M25" s="204"/>
      <c r="N25" s="204"/>
      <c r="O25" s="204"/>
      <c r="P25" s="205"/>
    </row>
    <row r="26" spans="1:16" ht="15.5" x14ac:dyDescent="0.35">
      <c r="A26" s="133">
        <f>'Timesheet-Regular'!C33</f>
        <v>44754</v>
      </c>
      <c r="B26" s="71">
        <f>IFERROR(
IF('Timesheet-Regular'!J33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IF('Timesheet-Regular'!J33=0,0,'Timesheet-Regular'!D33),
IF('Timesheet-Regular'!$D$2="Sapta Sarana Sejahtera (Exim Bank)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IF('Timesheet-Regular'!$D$2="Bank Permata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33-TIME(('Timesheet-Regular'!F33-8),0,0),
IF(AND(IF(MINUTE('Timesheet-Regular'!E33-'Timesheet-Regular'!D33)&gt;29,HOUR('Timesheet-Regular'!E33-'Timesheet-Regular'!D33)+1,HOUR('Timesheet-Regular'!E33-'Timesheet-Regular'!D33))=9,'Timesheet-Regular'!F33&gt;8),0,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33+TIME(9,1,0)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=9,'Timesheet-Regular'!F33&gt;8),'Timesheet-Regular'!D33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'Timesheet-Regular'!D33+TIME(9,1,0),0))))))))),"")</f>
        <v>0</v>
      </c>
      <c r="C26" s="71">
        <f>IF(B26&gt;0,'Timesheet-Regular'!E33,0)</f>
        <v>0</v>
      </c>
      <c r="D26" s="79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MINUTE(C26-B26)&gt;0,HOUR(C26-B26)+1,HOUR(C26-B26)),IF(MINUTE(C26-B26)&gt;29,HOUR(C26-B26)+1,HOUR(C26-B26)))</f>
        <v>0</v>
      </c>
      <c r="E26" s="240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SUM(Sheet2!D26:D27),0)</f>
        <v>0</v>
      </c>
      <c r="F26" s="78" t="str">
        <f>IFERROR(IF(B26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B26&gt;0,"Yes","")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=12,'Timesheet-Regular'!F33&gt;11),"Yes",
IF(AND(IF(MINUTE('Timesheet-Regular'!E33-'Timesheet-Regular'!D33)&gt;29,HOUR('Timesheet-Regular'!E33-'Timesheet-Regular'!D33)+1,HOUR('Timesheet-Regular'!E33-'Timesheet-Regular'!D33))=12,'Timesheet-Regular'!F33&gt;11),"",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=12,'Timesheet-Regular'!F33&gt;11),"Yes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No"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"Yes","")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=9,'Timesheet-Regular'!F33&gt;8),"Yes",
IF(AND(IF(MINUTE('Timesheet-Regular'!E33-'Timesheet-Regular'!D33)&gt;29,HOUR('Timesheet-Regular'!E33-'Timesheet-Regular'!D33)+1,HOUR('Timesheet-Regular'!E33-'Timesheet-Regular'!D33))=9,'Timesheet-Regular'!F33&gt;8),"",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=9,'Timesheet-Regular'!F33&gt;8),"Yes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No"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"Yes",""))))))))),"")</f>
        <v/>
      </c>
      <c r="G26" s="78">
        <f t="shared" si="0"/>
        <v>0</v>
      </c>
      <c r="H26" s="240">
        <f>SUM(Sheet2!D26:D27)</f>
        <v>0</v>
      </c>
      <c r="I26" s="203"/>
      <c r="J26" s="204"/>
      <c r="K26" s="204"/>
      <c r="L26" s="204"/>
      <c r="M26" s="204"/>
      <c r="N26" s="204"/>
      <c r="O26" s="204"/>
      <c r="P26" s="205"/>
    </row>
    <row r="27" spans="1:16" ht="15.5" x14ac:dyDescent="0.35">
      <c r="A27" s="134"/>
      <c r="B27" s="71">
        <f>IF('Timesheet-Regular'!J34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IF('Timesheet-Regular'!D33=0,0,'Timesheet-Regular'!D34),
IF('Timesheet-Regular'!D34=0,0,
IF('Timesheet-Regular'!$D$2="Sapta Sarana Sejahtera (Exim Bank)",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11),'Timesheet-Regular'!E34-TIME(('Timesheet-Regular'!F33-10)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11),'Timesheet-Regular'!D34,
IF(AND(IF(MINUTE('Timesheet-Regular'!E33-'Timesheet-Regular'!D33)&gt;29,HOUR('Timesheet-Regular'!E33-'Timesheet-Regular'!D33)+1,HOUR('Timesheet-Regular'!E33-'Timesheet-Regular'!D33))=11,'Timesheet-Regular'!F33&gt;11),'Timesheet-Regular'!D34,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IF('Timesheet-Regular'!$D$2="Bank Permata",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34-TIME(('Timesheet-Regular'!F33-9)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34,
IF(AND(IF(MINUTE('Timesheet-Regular'!E33-'Timesheet-Regular'!D33)&gt;29,HOUR('Timesheet-Regular'!E33-'Timesheet-Regular'!D33)+1,HOUR('Timesheet-Regular'!E33-'Timesheet-Regular'!D33))=11,'Timesheet-Regular'!F33&gt;10),'Timesheet-Regular'!D34,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34-TIME(('Timesheet-Regular'!F33-8),0,0)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34,
IF(AND(IF(MINUTE('Timesheet-Regular'!E33-'Timesheet-Regular'!D33)&gt;29,HOUR('Timesheet-Regular'!E33-'Timesheet-Regular'!D33)+1,HOUR('Timesheet-Regular'!E33-'Timesheet-Regular'!D33))=9,'Timesheet-Regular'!F33&gt;8),'Timesheet-Regular'!D34,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'Timesheet-Regular'!D34+TIME(9,1,0),
IF(AND((IF(MINUTE('Timesheet-Regular'!E33-'Timesheet-Regular'!D33)&gt;29,HOUR('Timesheet-Regular'!E33-'Timesheet-Regular'!D33)+1,HOUR('Timesheet-Regular'!E33-'Timesheet-Regular'!D33))&gt;=9),(IF(MINUTE('Timesheet-Regular'!E34-'Timesheet-Regular'!D34)&gt;29,HOUR('Timesheet-Regular'!E34-'Timesheet-Regular'!D34)+1,HOUR('Timesheet-Regular'!E34-'Timesheet-Regular'!D34))&gt;=9)),'Timesheet-Regular'!D34,0))))))))))</f>
        <v>0</v>
      </c>
      <c r="C27" s="71">
        <f>IF(B27&gt;0,'Timesheet-Regular'!E34,0)</f>
        <v>0</v>
      </c>
      <c r="D27" s="79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AND(B27&gt;0,B27&lt;=C26),0,IF(MINUTE(C27-B27)&gt;0,HOUR(C27-B27)+1,HOUR(C27-B27))),IF(AND(B27&gt;0,B27&lt;=C26),0,IF(MINUTE(C27-B27)&gt;29,HOUR(C27-B27)+1,HOUR(C27-B27))))</f>
        <v>0</v>
      </c>
      <c r="E27" s="241"/>
      <c r="F27" s="78" t="str">
        <f>IFERROR(IF(B27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IF(AND(B27&gt;0,B27&lt;=C26),0,IF(B27=0,"","Yes")),
IF('Timesheet-Regular'!$D$2="Rabobank",
IF('Timesheet-Regular'!D34=0,"",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Yes",
IF(AND(IF(MINUTE('Timesheet-Regular'!E33-'Timesheet-Regular'!D33)&gt;29,HOUR('Timesheet-Regular'!E33-'Timesheet-Regular'!D33)+1,HOUR('Timesheet-Regular'!E33-'Timesheet-Regular'!D33))=12,IF(MINUTE('Timesheet-Regular'!E34-'Timesheet-Regular'!D34)&gt;29,HOUR('Timesheet-Regular'!E34-'Timesheet-Regular'!D34)+1,HOUR('Timesheet-Regular'!E34-'Timesheet-Regular'!D34))&gt;0,'Timesheet-Regular'!F33&gt;11),"Yes",
IF(AND(IF(MINUTE('Timesheet-Regular'!E34-'Timesheet-Regular'!D34)&gt;29,HOUR('Timesheet-Regular'!E34-'Timesheet-Regular'!D34)+1,HOUR('Timesheet-Regular'!E34-'Timesheet-Regular'!D34))=12,'Timesheet-Regular'!F33&gt;11),"",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Yes","No")))))),
IF('Timesheet-Regular'!D34=0,"",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Yes",
IF(AND(IF(MINUTE('Timesheet-Regular'!E33-'Timesheet-Regular'!D33)&gt;29,HOUR('Timesheet-Regular'!E33-'Timesheet-Regular'!D33)+1,HOUR('Timesheet-Regular'!E33-'Timesheet-Regular'!D33))=9,IF(MINUTE('Timesheet-Regular'!E34-'Timesheet-Regular'!D34)&gt;29,HOUR('Timesheet-Regular'!E34-'Timesheet-Regular'!D34)+1,HOUR('Timesheet-Regular'!E34-'Timesheet-Regular'!D34))&gt;0,'Timesheet-Regular'!F33&gt;8),"Yes",
IF(AND(IF(MINUTE('Timesheet-Regular'!E34-'Timesheet-Regular'!D34)&gt;29,HOUR('Timesheet-Regular'!E34-'Timesheet-Regular'!D34)+1,HOUR('Timesheet-Regular'!E34-'Timesheet-Regular'!D34))=9,'Timesheet-Regular'!F33&gt;8),"",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Yes","No"))))))))),"")</f>
        <v/>
      </c>
      <c r="G27" s="78">
        <f t="shared" si="0"/>
        <v>0</v>
      </c>
      <c r="H27" s="241"/>
      <c r="I27" s="203"/>
      <c r="J27" s="204"/>
      <c r="K27" s="204"/>
      <c r="L27" s="204"/>
      <c r="M27" s="204"/>
      <c r="N27" s="204"/>
      <c r="O27" s="204"/>
      <c r="P27" s="205"/>
    </row>
    <row r="28" spans="1:16" ht="15.5" x14ac:dyDescent="0.35">
      <c r="A28" s="133">
        <f>'Timesheet-Regular'!C35</f>
        <v>44755</v>
      </c>
      <c r="B28" s="71">
        <f>IFERROR(
IF('Timesheet-Regular'!J35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IF('Timesheet-Regular'!J35=0,0,'Timesheet-Regular'!D35),
IF('Timesheet-Regular'!$D$2="Sapta Sarana Sejahtera (Exim Bank)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IF('Timesheet-Regular'!$D$2="Bank Permata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35-TIME(('Timesheet-Regular'!F35-8),0,0),
IF(AND(IF(MINUTE('Timesheet-Regular'!E35-'Timesheet-Regular'!D35)&gt;29,HOUR('Timesheet-Regular'!E35-'Timesheet-Regular'!D35)+1,HOUR('Timesheet-Regular'!E35-'Timesheet-Regular'!D35))=9,'Timesheet-Regular'!F35&gt;8),0,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35+TIME(9,1,0)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=9,'Timesheet-Regular'!F35&gt;8),'Timesheet-Regular'!D35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'Timesheet-Regular'!D35+TIME(9,1,0),0))))))))),"")</f>
        <v>0</v>
      </c>
      <c r="C28" s="71">
        <f>IF(B28&gt;0,'Timesheet-Regular'!E35,0)</f>
        <v>0</v>
      </c>
      <c r="D28" s="79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MINUTE(C28-B28)&gt;0,HOUR(C28-B28)+1,HOUR(C28-B28)),IF(MINUTE(C28-B28)&gt;29,HOUR(C28-B28)+1,HOUR(C28-B28)))</f>
        <v>0</v>
      </c>
      <c r="E28" s="240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SUM(Sheet2!D28:D29),0)</f>
        <v>0</v>
      </c>
      <c r="F28" s="78" t="str">
        <f>IFERROR(IF(B28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B28&gt;0,"Yes","")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=12,'Timesheet-Regular'!F35&gt;11),"Yes",
IF(AND(IF(MINUTE('Timesheet-Regular'!E35-'Timesheet-Regular'!D35)&gt;29,HOUR('Timesheet-Regular'!E35-'Timesheet-Regular'!D35)+1,HOUR('Timesheet-Regular'!E35-'Timesheet-Regular'!D35))=12,'Timesheet-Regular'!F35&gt;11),"",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=12,'Timesheet-Regular'!F35&gt;11),"Yes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No"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"Yes","")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=9,'Timesheet-Regular'!F35&gt;8),"Yes",
IF(AND(IF(MINUTE('Timesheet-Regular'!E35-'Timesheet-Regular'!D35)&gt;29,HOUR('Timesheet-Regular'!E35-'Timesheet-Regular'!D35)+1,HOUR('Timesheet-Regular'!E35-'Timesheet-Regular'!D35))=9,'Timesheet-Regular'!F35&gt;8),"",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=9,'Timesheet-Regular'!F35&gt;8),"Yes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No"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"Yes",""))))))))),"")</f>
        <v/>
      </c>
      <c r="G28" s="78">
        <f t="shared" si="0"/>
        <v>0</v>
      </c>
      <c r="H28" s="240">
        <f>SUM(Sheet2!D28:D29)</f>
        <v>0</v>
      </c>
      <c r="I28" s="203"/>
      <c r="J28" s="204"/>
      <c r="K28" s="204"/>
      <c r="L28" s="204"/>
      <c r="M28" s="204"/>
      <c r="N28" s="204"/>
      <c r="O28" s="204"/>
      <c r="P28" s="205"/>
    </row>
    <row r="29" spans="1:16" ht="15.5" x14ac:dyDescent="0.35">
      <c r="A29" s="134"/>
      <c r="B29" s="71">
        <f>IF('Timesheet-Regular'!J36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IF('Timesheet-Regular'!D35=0,0,'Timesheet-Regular'!D36),
IF('Timesheet-Regular'!D36=0,0,
IF('Timesheet-Regular'!$D$2="Sapta Sarana Sejahtera (Exim Bank)",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11),'Timesheet-Regular'!E36-TIME(('Timesheet-Regular'!F35-10)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11),'Timesheet-Regular'!D36,
IF(AND(IF(MINUTE('Timesheet-Regular'!E35-'Timesheet-Regular'!D35)&gt;29,HOUR('Timesheet-Regular'!E35-'Timesheet-Regular'!D35)+1,HOUR('Timesheet-Regular'!E35-'Timesheet-Regular'!D35))=11,'Timesheet-Regular'!F35&gt;11),'Timesheet-Regular'!D36,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IF('Timesheet-Regular'!$D$2="Bank Permata",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36-TIME(('Timesheet-Regular'!F35-9)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36,
IF(AND(IF(MINUTE('Timesheet-Regular'!E35-'Timesheet-Regular'!D35)&gt;29,HOUR('Timesheet-Regular'!E35-'Timesheet-Regular'!D35)+1,HOUR('Timesheet-Regular'!E35-'Timesheet-Regular'!D35))=11,'Timesheet-Regular'!F35&gt;10),'Timesheet-Regular'!D36,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36-TIME(('Timesheet-Regular'!F35-8),0,0)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36,
IF(AND(IF(MINUTE('Timesheet-Regular'!E35-'Timesheet-Regular'!D35)&gt;29,HOUR('Timesheet-Regular'!E35-'Timesheet-Regular'!D35)+1,HOUR('Timesheet-Regular'!E35-'Timesheet-Regular'!D35))=9,'Timesheet-Regular'!F35&gt;8),'Timesheet-Regular'!D36,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'Timesheet-Regular'!D36+TIME(9,1,0),
IF(AND((IF(MINUTE('Timesheet-Regular'!E35-'Timesheet-Regular'!D35)&gt;29,HOUR('Timesheet-Regular'!E35-'Timesheet-Regular'!D35)+1,HOUR('Timesheet-Regular'!E35-'Timesheet-Regular'!D35))&gt;=9),(IF(MINUTE('Timesheet-Regular'!E36-'Timesheet-Regular'!D36)&gt;29,HOUR('Timesheet-Regular'!E36-'Timesheet-Regular'!D36)+1,HOUR('Timesheet-Regular'!E36-'Timesheet-Regular'!D36))&gt;=9)),'Timesheet-Regular'!D36,0))))))))))</f>
        <v>0</v>
      </c>
      <c r="C29" s="71">
        <f>IF(B29&gt;0,'Timesheet-Regular'!E36,0)</f>
        <v>0</v>
      </c>
      <c r="D29" s="79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AND(B29&gt;0,B29&lt;=C28),0,IF(MINUTE(C29-B29)&gt;0,HOUR(C29-B29)+1,HOUR(C29-B29))),IF(AND(B29&gt;0,B29&lt;=C28),0,IF(MINUTE(C29-B29)&gt;29,HOUR(C29-B29)+1,HOUR(C29-B29))))</f>
        <v>0</v>
      </c>
      <c r="E29" s="241"/>
      <c r="F29" s="78" t="str">
        <f>IFERROR(IF(B29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IF(AND(B29&gt;0,B29&lt;=C28),0,IF(B29=0,"","Yes")),
IF('Timesheet-Regular'!$D$2="Rabobank",
IF('Timesheet-Regular'!D36=0,"",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Yes",
IF(AND(IF(MINUTE('Timesheet-Regular'!E35-'Timesheet-Regular'!D35)&gt;29,HOUR('Timesheet-Regular'!E35-'Timesheet-Regular'!D35)+1,HOUR('Timesheet-Regular'!E35-'Timesheet-Regular'!D35))=12,IF(MINUTE('Timesheet-Regular'!E36-'Timesheet-Regular'!D36)&gt;29,HOUR('Timesheet-Regular'!E36-'Timesheet-Regular'!D36)+1,HOUR('Timesheet-Regular'!E36-'Timesheet-Regular'!D36))&gt;0,'Timesheet-Regular'!F35&gt;11),"Yes",
IF(AND(IF(MINUTE('Timesheet-Regular'!E36-'Timesheet-Regular'!D36)&gt;29,HOUR('Timesheet-Regular'!E36-'Timesheet-Regular'!D36)+1,HOUR('Timesheet-Regular'!E36-'Timesheet-Regular'!D36))=12,'Timesheet-Regular'!F35&gt;11),"",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Yes","No")))))),
IF('Timesheet-Regular'!D36=0,"",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Yes",
IF(AND(IF(MINUTE('Timesheet-Regular'!E35-'Timesheet-Regular'!D35)&gt;29,HOUR('Timesheet-Regular'!E35-'Timesheet-Regular'!D35)+1,HOUR('Timesheet-Regular'!E35-'Timesheet-Regular'!D35))=9,IF(MINUTE('Timesheet-Regular'!E36-'Timesheet-Regular'!D36)&gt;29,HOUR('Timesheet-Regular'!E36-'Timesheet-Regular'!D36)+1,HOUR('Timesheet-Regular'!E36-'Timesheet-Regular'!D36))&gt;0,'Timesheet-Regular'!F35&gt;8),"Yes",
IF(AND(IF(MINUTE('Timesheet-Regular'!E36-'Timesheet-Regular'!D36)&gt;29,HOUR('Timesheet-Regular'!E36-'Timesheet-Regular'!D36)+1,HOUR('Timesheet-Regular'!E36-'Timesheet-Regular'!D36))=9,'Timesheet-Regular'!F35&gt;8),"",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Yes","No"))))))))),"")</f>
        <v/>
      </c>
      <c r="G29" s="78">
        <f t="shared" si="0"/>
        <v>0</v>
      </c>
      <c r="H29" s="241"/>
      <c r="I29" s="203"/>
      <c r="J29" s="204"/>
      <c r="K29" s="204"/>
      <c r="L29" s="204"/>
      <c r="M29" s="204"/>
      <c r="N29" s="204"/>
      <c r="O29" s="204"/>
      <c r="P29" s="205"/>
    </row>
    <row r="30" spans="1:16" ht="15.5" x14ac:dyDescent="0.35">
      <c r="A30" s="133">
        <f>'Timesheet-Regular'!C37</f>
        <v>44756</v>
      </c>
      <c r="B30" s="71">
        <f>IFERROR(
IF('Timesheet-Regular'!J37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IF('Timesheet-Regular'!J37=0,0,'Timesheet-Regular'!D37),
IF('Timesheet-Regular'!$D$2="Sapta Sarana Sejahtera (Exim Bank)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IF('Timesheet-Regular'!$D$2="Bank Permata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37-TIME(('Timesheet-Regular'!F37-8),0,0),
IF(AND(IF(MINUTE('Timesheet-Regular'!E37-'Timesheet-Regular'!D37)&gt;29,HOUR('Timesheet-Regular'!E37-'Timesheet-Regular'!D37)+1,HOUR('Timesheet-Regular'!E37-'Timesheet-Regular'!D37))=9,'Timesheet-Regular'!F37&gt;8),0,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37+TIME(9,1,0)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=9,'Timesheet-Regular'!F37&gt;8),'Timesheet-Regular'!D37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'Timesheet-Regular'!D37+TIME(9,1,0),0))))))))),"")</f>
        <v>0</v>
      </c>
      <c r="C30" s="71">
        <f>IF(B30&gt;0,'Timesheet-Regular'!E37,0)</f>
        <v>0</v>
      </c>
      <c r="D30" s="79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MINUTE(C30-B30)&gt;0,HOUR(C30-B30)+1,HOUR(C30-B30)),IF(MINUTE(C30-B30)&gt;29,HOUR(C30-B30)+1,HOUR(C30-B30)))</f>
        <v>0</v>
      </c>
      <c r="E30" s="240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SUM(Sheet2!D30:D31),0)</f>
        <v>0</v>
      </c>
      <c r="F30" s="78" t="str">
        <f>IFERROR(IF(B30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B30&gt;0,"Yes","")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=12,'Timesheet-Regular'!F37&gt;11),"Yes",
IF(AND(IF(MINUTE('Timesheet-Regular'!E37-'Timesheet-Regular'!D37)&gt;29,HOUR('Timesheet-Regular'!E37-'Timesheet-Regular'!D37)+1,HOUR('Timesheet-Regular'!E37-'Timesheet-Regular'!D37))=12,'Timesheet-Regular'!F37&gt;11),"",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=12,'Timesheet-Regular'!F37&gt;11),"Yes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No"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"Yes","")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=9,'Timesheet-Regular'!F37&gt;8),"Yes",
IF(AND(IF(MINUTE('Timesheet-Regular'!E37-'Timesheet-Regular'!D37)&gt;29,HOUR('Timesheet-Regular'!E37-'Timesheet-Regular'!D37)+1,HOUR('Timesheet-Regular'!E37-'Timesheet-Regular'!D37))=9,'Timesheet-Regular'!F37&gt;8),"",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=9,'Timesheet-Regular'!F37&gt;8),"Yes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No"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"Yes",""))))))))),"")</f>
        <v/>
      </c>
      <c r="G30" s="78">
        <f t="shared" si="0"/>
        <v>0</v>
      </c>
      <c r="H30" s="240">
        <f>SUM(Sheet2!D30:D31)</f>
        <v>0</v>
      </c>
      <c r="I30" s="203"/>
      <c r="J30" s="204"/>
      <c r="K30" s="204"/>
      <c r="L30" s="204"/>
      <c r="M30" s="204"/>
      <c r="N30" s="204"/>
      <c r="O30" s="204"/>
      <c r="P30" s="205"/>
    </row>
    <row r="31" spans="1:16" ht="15.5" x14ac:dyDescent="0.35">
      <c r="A31" s="134"/>
      <c r="B31" s="71">
        <f>IF('Timesheet-Regular'!J38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IF('Timesheet-Regular'!D37=0,0,'Timesheet-Regular'!D38),
IF('Timesheet-Regular'!D38=0,0,
IF('Timesheet-Regular'!$D$2="Sapta Sarana Sejahtera (Exim Bank)",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11),'Timesheet-Regular'!E38-TIME(('Timesheet-Regular'!F37-10)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11),'Timesheet-Regular'!D38,
IF(AND(IF(MINUTE('Timesheet-Regular'!E37-'Timesheet-Regular'!D37)&gt;29,HOUR('Timesheet-Regular'!E37-'Timesheet-Regular'!D37)+1,HOUR('Timesheet-Regular'!E37-'Timesheet-Regular'!D37))=11,'Timesheet-Regular'!F37&gt;11),'Timesheet-Regular'!D38,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IF('Timesheet-Regular'!$D$2="Bank Permata",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38-TIME(('Timesheet-Regular'!F37-9)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38,
IF(AND(IF(MINUTE('Timesheet-Regular'!E37-'Timesheet-Regular'!D37)&gt;29,HOUR('Timesheet-Regular'!E37-'Timesheet-Regular'!D37)+1,HOUR('Timesheet-Regular'!E37-'Timesheet-Regular'!D37))=11,'Timesheet-Regular'!F37&gt;10),'Timesheet-Regular'!D38,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38-TIME(('Timesheet-Regular'!F37-8),0,0)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38,
IF(AND(IF(MINUTE('Timesheet-Regular'!E37-'Timesheet-Regular'!D37)&gt;29,HOUR('Timesheet-Regular'!E37-'Timesheet-Regular'!D37)+1,HOUR('Timesheet-Regular'!E37-'Timesheet-Regular'!D37))=9,'Timesheet-Regular'!F37&gt;8),'Timesheet-Regular'!D38,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'Timesheet-Regular'!D38+TIME(9,1,0),
IF(AND((IF(MINUTE('Timesheet-Regular'!E37-'Timesheet-Regular'!D37)&gt;29,HOUR('Timesheet-Regular'!E37-'Timesheet-Regular'!D37)+1,HOUR('Timesheet-Regular'!E37-'Timesheet-Regular'!D37))&gt;=9),(IF(MINUTE('Timesheet-Regular'!E38-'Timesheet-Regular'!D38)&gt;29,HOUR('Timesheet-Regular'!E38-'Timesheet-Regular'!D38)+1,HOUR('Timesheet-Regular'!E38-'Timesheet-Regular'!D38))&gt;=9)),'Timesheet-Regular'!D38,0))))))))))</f>
        <v>0</v>
      </c>
      <c r="C31" s="71">
        <f>IF(B31&gt;0,'Timesheet-Regular'!E38,0)</f>
        <v>0</v>
      </c>
      <c r="D31" s="79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AND(B31&gt;0,B31&lt;=C30),0,IF(MINUTE(C31-B31)&gt;0,HOUR(C31-B31)+1,HOUR(C31-B31))),IF(AND(B31&gt;0,B31&lt;=C30),0,IF(MINUTE(C31-B31)&gt;29,HOUR(C31-B31)+1,HOUR(C31-B31))))</f>
        <v>0</v>
      </c>
      <c r="E31" s="241"/>
      <c r="F31" s="78" t="str">
        <f>IFERROR(IF(B31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IF(AND(B31&gt;0,B31&lt;=C30),0,IF(B31=0,"","Yes")),
IF('Timesheet-Regular'!$D$2="Rabobank",
IF('Timesheet-Regular'!D38=0,"",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Yes",
IF(AND(IF(MINUTE('Timesheet-Regular'!E37-'Timesheet-Regular'!D37)&gt;29,HOUR('Timesheet-Regular'!E37-'Timesheet-Regular'!D37)+1,HOUR('Timesheet-Regular'!E37-'Timesheet-Regular'!D37))=12,IF(MINUTE('Timesheet-Regular'!E38-'Timesheet-Regular'!D38)&gt;29,HOUR('Timesheet-Regular'!E38-'Timesheet-Regular'!D38)+1,HOUR('Timesheet-Regular'!E38-'Timesheet-Regular'!D38))&gt;0,'Timesheet-Regular'!F37&gt;11),"Yes",
IF(AND(IF(MINUTE('Timesheet-Regular'!E38-'Timesheet-Regular'!D38)&gt;29,HOUR('Timesheet-Regular'!E38-'Timesheet-Regular'!D38)+1,HOUR('Timesheet-Regular'!E38-'Timesheet-Regular'!D38))=12,'Timesheet-Regular'!F37&gt;11),"",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Yes","No")))))),
IF('Timesheet-Regular'!D38=0,"",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Yes",
IF(AND(IF(MINUTE('Timesheet-Regular'!E37-'Timesheet-Regular'!D37)&gt;29,HOUR('Timesheet-Regular'!E37-'Timesheet-Regular'!D37)+1,HOUR('Timesheet-Regular'!E37-'Timesheet-Regular'!D37))=9,IF(MINUTE('Timesheet-Regular'!E38-'Timesheet-Regular'!D38)&gt;29,HOUR('Timesheet-Regular'!E38-'Timesheet-Regular'!D38)+1,HOUR('Timesheet-Regular'!E38-'Timesheet-Regular'!D38))&gt;0,'Timesheet-Regular'!F37&gt;8),"Yes",
IF(AND(IF(MINUTE('Timesheet-Regular'!E38-'Timesheet-Regular'!D38)&gt;29,HOUR('Timesheet-Regular'!E38-'Timesheet-Regular'!D38)+1,HOUR('Timesheet-Regular'!E38-'Timesheet-Regular'!D38))=9,'Timesheet-Regular'!F37&gt;8),"",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Yes","No"))))))))),"")</f>
        <v/>
      </c>
      <c r="G31" s="78">
        <f t="shared" si="0"/>
        <v>0</v>
      </c>
      <c r="H31" s="241"/>
      <c r="I31" s="203"/>
      <c r="J31" s="204"/>
      <c r="K31" s="204"/>
      <c r="L31" s="204"/>
      <c r="M31" s="204"/>
      <c r="N31" s="204"/>
      <c r="O31" s="204"/>
      <c r="P31" s="205"/>
    </row>
    <row r="32" spans="1:16" ht="15.5" x14ac:dyDescent="0.35">
      <c r="A32" s="133">
        <f>'Timesheet-Regular'!C39</f>
        <v>44757</v>
      </c>
      <c r="B32" s="71">
        <f>IFERROR(
IF('Timesheet-Regular'!J39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IF('Timesheet-Regular'!J39=0,0,'Timesheet-Regular'!D39),
IF('Timesheet-Regular'!$D$2="Sapta Sarana Sejahtera (Exim Bank)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IF('Timesheet-Regular'!$D$2="Bank Permata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39-TIME(('Timesheet-Regular'!F39-8),0,0),
IF(AND(IF(MINUTE('Timesheet-Regular'!E39-'Timesheet-Regular'!D39)&gt;29,HOUR('Timesheet-Regular'!E39-'Timesheet-Regular'!D39)+1,HOUR('Timesheet-Regular'!E39-'Timesheet-Regular'!D39))=9,'Timesheet-Regular'!F39&gt;8),0,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39+TIME(9,1,0)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=9,'Timesheet-Regular'!F39&gt;8),'Timesheet-Regular'!D39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'Timesheet-Regular'!D39+TIME(9,1,0),0))))))))),"")</f>
        <v>0</v>
      </c>
      <c r="C32" s="71">
        <f>IF(B32&gt;0,'Timesheet-Regular'!E39,0)</f>
        <v>0</v>
      </c>
      <c r="D32" s="79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MINUTE(C32-B32)&gt;0,HOUR(C32-B32)+1,HOUR(C32-B32)),IF(MINUTE(C32-B32)&gt;29,HOUR(C32-B32)+1,HOUR(C32-B32)))</f>
        <v>0</v>
      </c>
      <c r="E32" s="240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SUM(Sheet2!D32:D33),0)</f>
        <v>0</v>
      </c>
      <c r="F32" s="78" t="str">
        <f>IFERROR(IF(B32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B32&gt;0,"Yes","")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=12,'Timesheet-Regular'!F39&gt;11),"Yes",
IF(AND(IF(MINUTE('Timesheet-Regular'!E39-'Timesheet-Regular'!D39)&gt;29,HOUR('Timesheet-Regular'!E39-'Timesheet-Regular'!D39)+1,HOUR('Timesheet-Regular'!E39-'Timesheet-Regular'!D39))=12,'Timesheet-Regular'!F39&gt;11),"",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=12,'Timesheet-Regular'!F39&gt;11),"Yes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No"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"Yes","")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=9,'Timesheet-Regular'!F39&gt;8),"Yes",
IF(AND(IF(MINUTE('Timesheet-Regular'!E39-'Timesheet-Regular'!D39)&gt;29,HOUR('Timesheet-Regular'!E39-'Timesheet-Regular'!D39)+1,HOUR('Timesheet-Regular'!E39-'Timesheet-Regular'!D39))=9,'Timesheet-Regular'!F39&gt;8),"",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=9,'Timesheet-Regular'!F39&gt;8),"Yes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No"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"Yes",""))))))))),"")</f>
        <v/>
      </c>
      <c r="G32" s="78">
        <f t="shared" si="0"/>
        <v>0</v>
      </c>
      <c r="H32" s="240">
        <f>SUM(Sheet2!D32:D33)</f>
        <v>0</v>
      </c>
      <c r="I32" s="203"/>
      <c r="J32" s="204"/>
      <c r="K32" s="204"/>
      <c r="L32" s="204"/>
      <c r="M32" s="204"/>
      <c r="N32" s="204"/>
      <c r="O32" s="204"/>
      <c r="P32" s="205"/>
    </row>
    <row r="33" spans="1:16" ht="15.5" x14ac:dyDescent="0.35">
      <c r="A33" s="134"/>
      <c r="B33" s="71">
        <f>IF('Timesheet-Regular'!J40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IF('Timesheet-Regular'!D39=0,0,'Timesheet-Regular'!D40),
IF('Timesheet-Regular'!D40=0,0,
IF('Timesheet-Regular'!$D$2="Sapta Sarana Sejahtera (Exim Bank)",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11),'Timesheet-Regular'!E40-TIME(('Timesheet-Regular'!F39-10)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11),'Timesheet-Regular'!D40,
IF(AND(IF(MINUTE('Timesheet-Regular'!E39-'Timesheet-Regular'!D39)&gt;29,HOUR('Timesheet-Regular'!E39-'Timesheet-Regular'!D39)+1,HOUR('Timesheet-Regular'!E39-'Timesheet-Regular'!D39))=11,'Timesheet-Regular'!F39&gt;11),'Timesheet-Regular'!D40,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IF('Timesheet-Regular'!$D$2="Bank Permata",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40-TIME(('Timesheet-Regular'!F39-9)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40,
IF(AND(IF(MINUTE('Timesheet-Regular'!E39-'Timesheet-Regular'!D39)&gt;29,HOUR('Timesheet-Regular'!E39-'Timesheet-Regular'!D39)+1,HOUR('Timesheet-Regular'!E39-'Timesheet-Regular'!D39))=11,'Timesheet-Regular'!F39&gt;10),'Timesheet-Regular'!D40,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40-TIME(('Timesheet-Regular'!F39-8),0,0)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40,
IF(AND(IF(MINUTE('Timesheet-Regular'!E39-'Timesheet-Regular'!D39)&gt;29,HOUR('Timesheet-Regular'!E39-'Timesheet-Regular'!D39)+1,HOUR('Timesheet-Regular'!E39-'Timesheet-Regular'!D39))=9,'Timesheet-Regular'!F39&gt;8),'Timesheet-Regular'!D40,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'Timesheet-Regular'!D40+TIME(9,1,0),
IF(AND((IF(MINUTE('Timesheet-Regular'!E39-'Timesheet-Regular'!D39)&gt;29,HOUR('Timesheet-Regular'!E39-'Timesheet-Regular'!D39)+1,HOUR('Timesheet-Regular'!E39-'Timesheet-Regular'!D39))&gt;=9),(IF(MINUTE('Timesheet-Regular'!E40-'Timesheet-Regular'!D40)&gt;29,HOUR('Timesheet-Regular'!E40-'Timesheet-Regular'!D40)+1,HOUR('Timesheet-Regular'!E40-'Timesheet-Regular'!D40))&gt;=9)),'Timesheet-Regular'!D40,0))))))))))</f>
        <v>0</v>
      </c>
      <c r="C33" s="71">
        <f>IF(B33&gt;0,'Timesheet-Regular'!E40,0)</f>
        <v>0</v>
      </c>
      <c r="D33" s="79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AND(B33&gt;0,B33&lt;=C32),0,IF(MINUTE(C33-B33)&gt;0,HOUR(C33-B33)+1,HOUR(C33-B33))),IF(AND(B33&gt;0,B33&lt;=C32),0,IF(MINUTE(C33-B33)&gt;29,HOUR(C33-B33)+1,HOUR(C33-B33))))</f>
        <v>0</v>
      </c>
      <c r="E33" s="241"/>
      <c r="F33" s="78" t="str">
        <f>IFERROR(IF(B33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IF(AND(B33&gt;0,B33&lt;=C32),0,IF(B33=0,"","Yes")),
IF('Timesheet-Regular'!$D$2="Rabobank",
IF('Timesheet-Regular'!D40=0,"",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Yes",
IF(AND(IF(MINUTE('Timesheet-Regular'!E39-'Timesheet-Regular'!D39)&gt;29,HOUR('Timesheet-Regular'!E39-'Timesheet-Regular'!D39)+1,HOUR('Timesheet-Regular'!E39-'Timesheet-Regular'!D39))=12,IF(MINUTE('Timesheet-Regular'!E40-'Timesheet-Regular'!D40)&gt;29,HOUR('Timesheet-Regular'!E40-'Timesheet-Regular'!D40)+1,HOUR('Timesheet-Regular'!E40-'Timesheet-Regular'!D40))&gt;0,'Timesheet-Regular'!F39&gt;11),"Yes",
IF(AND(IF(MINUTE('Timesheet-Regular'!E40-'Timesheet-Regular'!D40)&gt;29,HOUR('Timesheet-Regular'!E40-'Timesheet-Regular'!D40)+1,HOUR('Timesheet-Regular'!E40-'Timesheet-Regular'!D40))=12,'Timesheet-Regular'!F39&gt;11),"",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Yes","No")))))),
IF('Timesheet-Regular'!D40=0,"",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Yes",
IF(AND(IF(MINUTE('Timesheet-Regular'!E39-'Timesheet-Regular'!D39)&gt;29,HOUR('Timesheet-Regular'!E39-'Timesheet-Regular'!D39)+1,HOUR('Timesheet-Regular'!E39-'Timesheet-Regular'!D39))=9,IF(MINUTE('Timesheet-Regular'!E40-'Timesheet-Regular'!D40)&gt;29,HOUR('Timesheet-Regular'!E40-'Timesheet-Regular'!D40)+1,HOUR('Timesheet-Regular'!E40-'Timesheet-Regular'!D40))&gt;0,'Timesheet-Regular'!F39&gt;8),"Yes",
IF(AND(IF(MINUTE('Timesheet-Regular'!E40-'Timesheet-Regular'!D40)&gt;29,HOUR('Timesheet-Regular'!E40-'Timesheet-Regular'!D40)+1,HOUR('Timesheet-Regular'!E40-'Timesheet-Regular'!D40))=9,'Timesheet-Regular'!F39&gt;8),"",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Yes","No"))))))))),"")</f>
        <v/>
      </c>
      <c r="G33" s="78">
        <f t="shared" si="0"/>
        <v>0</v>
      </c>
      <c r="H33" s="241"/>
      <c r="I33" s="203"/>
      <c r="J33" s="204"/>
      <c r="K33" s="204"/>
      <c r="L33" s="204"/>
      <c r="M33" s="204"/>
      <c r="N33" s="204"/>
      <c r="O33" s="204"/>
      <c r="P33" s="205"/>
    </row>
    <row r="34" spans="1:16" ht="15.5" x14ac:dyDescent="0.35">
      <c r="A34" s="133">
        <f>'Timesheet-Regular'!C41</f>
        <v>44758</v>
      </c>
      <c r="B34" s="71">
        <f>IFERROR(
IF('Timesheet-Regular'!J41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IF('Timesheet-Regular'!J41=0,0,'Timesheet-Regular'!D41),
IF('Timesheet-Regular'!$D$2="Sapta Sarana Sejahtera (Exim Bank)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IF('Timesheet-Regular'!$D$2="Bank Permata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41-TIME(('Timesheet-Regular'!F41-8),0,0),
IF(AND(IF(MINUTE('Timesheet-Regular'!E41-'Timesheet-Regular'!D41)&gt;29,HOUR('Timesheet-Regular'!E41-'Timesheet-Regular'!D41)+1,HOUR('Timesheet-Regular'!E41-'Timesheet-Regular'!D41))=9,'Timesheet-Regular'!F41&gt;8),0,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41+TIME(9,1,0)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=9,'Timesheet-Regular'!F41&gt;8),'Timesheet-Regular'!D41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'Timesheet-Regular'!D41+TIME(9,1,0),0))))))))),"")</f>
        <v>0</v>
      </c>
      <c r="C34" s="71">
        <f>IF(B34&gt;0,'Timesheet-Regular'!E41,0)</f>
        <v>0</v>
      </c>
      <c r="D34" s="79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MINUTE(C34-B34)&gt;0,HOUR(C34-B34)+1,HOUR(C34-B34)),IF(MINUTE(C34-B34)&gt;29,HOUR(C34-B34)+1,HOUR(C34-B34)))</f>
        <v>0</v>
      </c>
      <c r="E34" s="240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SUM(Sheet2!D34:D35),0)</f>
        <v>0</v>
      </c>
      <c r="F34" s="78" t="str">
        <f>IFERROR(IF(B34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B34&gt;0,"Yes","")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=12,'Timesheet-Regular'!F41&gt;11),"Yes",
IF(AND(IF(MINUTE('Timesheet-Regular'!E41-'Timesheet-Regular'!D41)&gt;29,HOUR('Timesheet-Regular'!E41-'Timesheet-Regular'!D41)+1,HOUR('Timesheet-Regular'!E41-'Timesheet-Regular'!D41))=12,'Timesheet-Regular'!F41&gt;11),"",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=12,'Timesheet-Regular'!F41&gt;11),"Yes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No"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"Yes","")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=9,'Timesheet-Regular'!F41&gt;8),"Yes",
IF(AND(IF(MINUTE('Timesheet-Regular'!E41-'Timesheet-Regular'!D41)&gt;29,HOUR('Timesheet-Regular'!E41-'Timesheet-Regular'!D41)+1,HOUR('Timesheet-Regular'!E41-'Timesheet-Regular'!D41))=9,'Timesheet-Regular'!F41&gt;8),"",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=9,'Timesheet-Regular'!F41&gt;8),"Yes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No"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"Yes",""))))))))),"")</f>
        <v/>
      </c>
      <c r="G34" s="78">
        <f t="shared" si="0"/>
        <v>0</v>
      </c>
      <c r="H34" s="240">
        <f>SUM(Sheet2!D34:D35)</f>
        <v>0</v>
      </c>
      <c r="I34" s="203"/>
      <c r="J34" s="204"/>
      <c r="K34" s="204"/>
      <c r="L34" s="204"/>
      <c r="M34" s="204"/>
      <c r="N34" s="204"/>
      <c r="O34" s="204"/>
      <c r="P34" s="205"/>
    </row>
    <row r="35" spans="1:16" ht="15.5" x14ac:dyDescent="0.35">
      <c r="A35" s="134"/>
      <c r="B35" s="71">
        <f>IF('Timesheet-Regular'!J42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IF('Timesheet-Regular'!D41=0,0,'Timesheet-Regular'!D42),
IF('Timesheet-Regular'!D42=0,0,
IF('Timesheet-Regular'!$D$2="Sapta Sarana Sejahtera (Exim Bank)",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11),'Timesheet-Regular'!E42-TIME(('Timesheet-Regular'!F41-10)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11),'Timesheet-Regular'!D42,
IF(AND(IF(MINUTE('Timesheet-Regular'!E41-'Timesheet-Regular'!D41)&gt;29,HOUR('Timesheet-Regular'!E41-'Timesheet-Regular'!D41)+1,HOUR('Timesheet-Regular'!E41-'Timesheet-Regular'!D41))=11,'Timesheet-Regular'!F41&gt;11),'Timesheet-Regular'!D42,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IF('Timesheet-Regular'!$D$2="Bank Permata",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42-TIME(('Timesheet-Regular'!F41-9)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42,
IF(AND(IF(MINUTE('Timesheet-Regular'!E41-'Timesheet-Regular'!D41)&gt;29,HOUR('Timesheet-Regular'!E41-'Timesheet-Regular'!D41)+1,HOUR('Timesheet-Regular'!E41-'Timesheet-Regular'!D41))=11,'Timesheet-Regular'!F41&gt;10),'Timesheet-Regular'!D42,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42-TIME(('Timesheet-Regular'!F41-8),0,0)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42,
IF(AND(IF(MINUTE('Timesheet-Regular'!E41-'Timesheet-Regular'!D41)&gt;29,HOUR('Timesheet-Regular'!E41-'Timesheet-Regular'!D41)+1,HOUR('Timesheet-Regular'!E41-'Timesheet-Regular'!D41))=9,'Timesheet-Regular'!F41&gt;8),'Timesheet-Regular'!D42,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'Timesheet-Regular'!D42+TIME(9,1,0),
IF(AND((IF(MINUTE('Timesheet-Regular'!E41-'Timesheet-Regular'!D41)&gt;29,HOUR('Timesheet-Regular'!E41-'Timesheet-Regular'!D41)+1,HOUR('Timesheet-Regular'!E41-'Timesheet-Regular'!D41))&gt;=9),(IF(MINUTE('Timesheet-Regular'!E42-'Timesheet-Regular'!D42)&gt;29,HOUR('Timesheet-Regular'!E42-'Timesheet-Regular'!D42)+1,HOUR('Timesheet-Regular'!E42-'Timesheet-Regular'!D42))&gt;=9)),'Timesheet-Regular'!D42,0))))))))))</f>
        <v>0</v>
      </c>
      <c r="C35" s="71">
        <f>IF(B35&gt;0,'Timesheet-Regular'!E42,0)</f>
        <v>0</v>
      </c>
      <c r="D35" s="79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AND(B35&gt;0,B35&lt;=C34),0,IF(MINUTE(C35-B35)&gt;0,HOUR(C35-B35)+1,HOUR(C35-B35))),IF(AND(B35&gt;0,B35&lt;=C34),0,IF(MINUTE(C35-B35)&gt;29,HOUR(C35-B35)+1,HOUR(C35-B35))))</f>
        <v>0</v>
      </c>
      <c r="E35" s="241"/>
      <c r="F35" s="78" t="str">
        <f>IFERROR(IF(B35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IF(AND(B35&gt;0,B35&lt;=C34),0,IF(B35=0,"","Yes")),
IF('Timesheet-Regular'!$D$2="Rabobank",
IF('Timesheet-Regular'!D42=0,"",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Yes",
IF(AND(IF(MINUTE('Timesheet-Regular'!E41-'Timesheet-Regular'!D41)&gt;29,HOUR('Timesheet-Regular'!E41-'Timesheet-Regular'!D41)+1,HOUR('Timesheet-Regular'!E41-'Timesheet-Regular'!D41))=12,IF(MINUTE('Timesheet-Regular'!E42-'Timesheet-Regular'!D42)&gt;29,HOUR('Timesheet-Regular'!E42-'Timesheet-Regular'!D42)+1,HOUR('Timesheet-Regular'!E42-'Timesheet-Regular'!D42))&gt;0,'Timesheet-Regular'!F41&gt;11),"Yes",
IF(AND(IF(MINUTE('Timesheet-Regular'!E42-'Timesheet-Regular'!D42)&gt;29,HOUR('Timesheet-Regular'!E42-'Timesheet-Regular'!D42)+1,HOUR('Timesheet-Regular'!E42-'Timesheet-Regular'!D42))=12,'Timesheet-Regular'!F41&gt;11),"",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Yes","No")))))),
IF('Timesheet-Regular'!D42=0,"",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Yes",
IF(AND(IF(MINUTE('Timesheet-Regular'!E41-'Timesheet-Regular'!D41)&gt;29,HOUR('Timesheet-Regular'!E41-'Timesheet-Regular'!D41)+1,HOUR('Timesheet-Regular'!E41-'Timesheet-Regular'!D41))=9,IF(MINUTE('Timesheet-Regular'!E42-'Timesheet-Regular'!D42)&gt;29,HOUR('Timesheet-Regular'!E42-'Timesheet-Regular'!D42)+1,HOUR('Timesheet-Regular'!E42-'Timesheet-Regular'!D42))&gt;0,'Timesheet-Regular'!F41&gt;8),"Yes",
IF(AND(IF(MINUTE('Timesheet-Regular'!E42-'Timesheet-Regular'!D42)&gt;29,HOUR('Timesheet-Regular'!E42-'Timesheet-Regular'!D42)+1,HOUR('Timesheet-Regular'!E42-'Timesheet-Regular'!D42))=9,'Timesheet-Regular'!F41&gt;8),"",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Yes","No"))))))))),"")</f>
        <v/>
      </c>
      <c r="G35" s="78">
        <f t="shared" si="0"/>
        <v>0</v>
      </c>
      <c r="H35" s="241"/>
      <c r="I35" s="203"/>
      <c r="J35" s="204"/>
      <c r="K35" s="204"/>
      <c r="L35" s="204"/>
      <c r="M35" s="204"/>
      <c r="N35" s="204"/>
      <c r="O35" s="204"/>
      <c r="P35" s="205"/>
    </row>
    <row r="36" spans="1:16" ht="15.5" x14ac:dyDescent="0.35">
      <c r="A36" s="133">
        <f>'Timesheet-Regular'!C43</f>
        <v>44759</v>
      </c>
      <c r="B36" s="71">
        <f>IFERROR(
IF('Timesheet-Regular'!J43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IF('Timesheet-Regular'!J43=0,0,'Timesheet-Regular'!D43),
IF('Timesheet-Regular'!$D$2="Sapta Sarana Sejahtera (Exim Bank)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IF('Timesheet-Regular'!$D$2="Bank Permata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43-TIME(('Timesheet-Regular'!F43-8),0,0),
IF(AND(IF(MINUTE('Timesheet-Regular'!E43-'Timesheet-Regular'!D43)&gt;29,HOUR('Timesheet-Regular'!E43-'Timesheet-Regular'!D43)+1,HOUR('Timesheet-Regular'!E43-'Timesheet-Regular'!D43))=9,'Timesheet-Regular'!F43&gt;8),0,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43+TIME(9,1,0)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=9,'Timesheet-Regular'!F43&gt;8),'Timesheet-Regular'!D43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'Timesheet-Regular'!D43+TIME(9,1,0),0))))))))),"")</f>
        <v>0</v>
      </c>
      <c r="C36" s="71">
        <f>IF(B36&gt;0,'Timesheet-Regular'!E43,0)</f>
        <v>0</v>
      </c>
      <c r="D36" s="79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MINUTE(C36-B36)&gt;0,HOUR(C36-B36)+1,HOUR(C36-B36)),IF(MINUTE(C36-B36)&gt;29,HOUR(C36-B36)+1,HOUR(C36-B36)))</f>
        <v>0</v>
      </c>
      <c r="E36" s="240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SUM(Sheet2!D36:D37),0)</f>
        <v>0</v>
      </c>
      <c r="F36" s="78" t="str">
        <f>IFERROR(IF(B36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B36&gt;0,"Yes","")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=12,'Timesheet-Regular'!F43&gt;11),"Yes",
IF(AND(IF(MINUTE('Timesheet-Regular'!E43-'Timesheet-Regular'!D43)&gt;29,HOUR('Timesheet-Regular'!E43-'Timesheet-Regular'!D43)+1,HOUR('Timesheet-Regular'!E43-'Timesheet-Regular'!D43))=12,'Timesheet-Regular'!F43&gt;11),"",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=12,'Timesheet-Regular'!F43&gt;11),"Yes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No"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"Yes","")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=9,'Timesheet-Regular'!F43&gt;8),"Yes",
IF(AND(IF(MINUTE('Timesheet-Regular'!E43-'Timesheet-Regular'!D43)&gt;29,HOUR('Timesheet-Regular'!E43-'Timesheet-Regular'!D43)+1,HOUR('Timesheet-Regular'!E43-'Timesheet-Regular'!D43))=9,'Timesheet-Regular'!F43&gt;8),"",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=9,'Timesheet-Regular'!F43&gt;8),"Yes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No"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"Yes",""))))))))),"")</f>
        <v/>
      </c>
      <c r="G36" s="78">
        <f t="shared" si="0"/>
        <v>0</v>
      </c>
      <c r="H36" s="240">
        <f>SUM(Sheet2!D36:D37)</f>
        <v>0</v>
      </c>
      <c r="I36" s="203"/>
      <c r="J36" s="204"/>
      <c r="K36" s="204"/>
      <c r="L36" s="204"/>
      <c r="M36" s="204"/>
      <c r="N36" s="204"/>
      <c r="O36" s="204"/>
      <c r="P36" s="205"/>
    </row>
    <row r="37" spans="1:16" ht="15.5" x14ac:dyDescent="0.35">
      <c r="A37" s="134"/>
      <c r="B37" s="71">
        <f>IF('Timesheet-Regular'!J44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IF('Timesheet-Regular'!D43=0,0,'Timesheet-Regular'!D44),
IF('Timesheet-Regular'!D44=0,0,
IF('Timesheet-Regular'!$D$2="Sapta Sarana Sejahtera (Exim Bank)",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11),'Timesheet-Regular'!E44-TIME(('Timesheet-Regular'!F43-10)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11),'Timesheet-Regular'!D44,
IF(AND(IF(MINUTE('Timesheet-Regular'!E43-'Timesheet-Regular'!D43)&gt;29,HOUR('Timesheet-Regular'!E43-'Timesheet-Regular'!D43)+1,HOUR('Timesheet-Regular'!E43-'Timesheet-Regular'!D43))=11,'Timesheet-Regular'!F43&gt;11),'Timesheet-Regular'!D44,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IF('Timesheet-Regular'!$D$2="Bank Permata",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44-TIME(('Timesheet-Regular'!F43-9)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44,
IF(AND(IF(MINUTE('Timesheet-Regular'!E43-'Timesheet-Regular'!D43)&gt;29,HOUR('Timesheet-Regular'!E43-'Timesheet-Regular'!D43)+1,HOUR('Timesheet-Regular'!E43-'Timesheet-Regular'!D43))=11,'Timesheet-Regular'!F43&gt;10),'Timesheet-Regular'!D44,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44-TIME(('Timesheet-Regular'!F43-8),0,0)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44,
IF(AND(IF(MINUTE('Timesheet-Regular'!E43-'Timesheet-Regular'!D43)&gt;29,HOUR('Timesheet-Regular'!E43-'Timesheet-Regular'!D43)+1,HOUR('Timesheet-Regular'!E43-'Timesheet-Regular'!D43))=9,'Timesheet-Regular'!F43&gt;8),'Timesheet-Regular'!D44,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'Timesheet-Regular'!D44+TIME(9,1,0),
IF(AND((IF(MINUTE('Timesheet-Regular'!E43-'Timesheet-Regular'!D43)&gt;29,HOUR('Timesheet-Regular'!E43-'Timesheet-Regular'!D43)+1,HOUR('Timesheet-Regular'!E43-'Timesheet-Regular'!D43))&gt;=9),(IF(MINUTE('Timesheet-Regular'!E44-'Timesheet-Regular'!D44)&gt;29,HOUR('Timesheet-Regular'!E44-'Timesheet-Regular'!D44)+1,HOUR('Timesheet-Regular'!E44-'Timesheet-Regular'!D44))&gt;=9)),'Timesheet-Regular'!D44,0))))))))))</f>
        <v>0</v>
      </c>
      <c r="C37" s="71">
        <f>IF(B37&gt;0,'Timesheet-Regular'!E44,0)</f>
        <v>0</v>
      </c>
      <c r="D37" s="79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AND(B37&gt;0,B37&lt;=C36),0,IF(MINUTE(C37-B37)&gt;0,HOUR(C37-B37)+1,HOUR(C37-B37))),IF(AND(B37&gt;0,B37&lt;=C36),0,IF(MINUTE(C37-B37)&gt;29,HOUR(C37-B37)+1,HOUR(C37-B37))))</f>
        <v>0</v>
      </c>
      <c r="E37" s="241"/>
      <c r="F37" s="78" t="str">
        <f>IFERROR(IF(B37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IF(AND(B37&gt;0,B37&lt;=C36),0,IF(B37=0,"","Yes")),
IF('Timesheet-Regular'!$D$2="Rabobank",
IF('Timesheet-Regular'!D44=0,"",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Yes",
IF(AND(IF(MINUTE('Timesheet-Regular'!E43-'Timesheet-Regular'!D43)&gt;29,HOUR('Timesheet-Regular'!E43-'Timesheet-Regular'!D43)+1,HOUR('Timesheet-Regular'!E43-'Timesheet-Regular'!D43))=12,IF(MINUTE('Timesheet-Regular'!E44-'Timesheet-Regular'!D44)&gt;29,HOUR('Timesheet-Regular'!E44-'Timesheet-Regular'!D44)+1,HOUR('Timesheet-Regular'!E44-'Timesheet-Regular'!D44))&gt;0,'Timesheet-Regular'!F43&gt;11),"Yes",
IF(AND(IF(MINUTE('Timesheet-Regular'!E44-'Timesheet-Regular'!D44)&gt;29,HOUR('Timesheet-Regular'!E44-'Timesheet-Regular'!D44)+1,HOUR('Timesheet-Regular'!E44-'Timesheet-Regular'!D44))=12,'Timesheet-Regular'!F43&gt;11),"",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Yes","No")))))),
IF('Timesheet-Regular'!D44=0,"",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Yes",
IF(AND(IF(MINUTE('Timesheet-Regular'!E43-'Timesheet-Regular'!D43)&gt;29,HOUR('Timesheet-Regular'!E43-'Timesheet-Regular'!D43)+1,HOUR('Timesheet-Regular'!E43-'Timesheet-Regular'!D43))=9,IF(MINUTE('Timesheet-Regular'!E44-'Timesheet-Regular'!D44)&gt;29,HOUR('Timesheet-Regular'!E44-'Timesheet-Regular'!D44)+1,HOUR('Timesheet-Regular'!E44-'Timesheet-Regular'!D44))&gt;0,'Timesheet-Regular'!F43&gt;8),"Yes",
IF(AND(IF(MINUTE('Timesheet-Regular'!E44-'Timesheet-Regular'!D44)&gt;29,HOUR('Timesheet-Regular'!E44-'Timesheet-Regular'!D44)+1,HOUR('Timesheet-Regular'!E44-'Timesheet-Regular'!D44))=9,'Timesheet-Regular'!F43&gt;8),"",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Yes","No"))))))))),"")</f>
        <v/>
      </c>
      <c r="G37" s="78">
        <f t="shared" si="0"/>
        <v>0</v>
      </c>
      <c r="H37" s="241"/>
      <c r="I37" s="203"/>
      <c r="J37" s="204"/>
      <c r="K37" s="204"/>
      <c r="L37" s="204"/>
      <c r="M37" s="204"/>
      <c r="N37" s="204"/>
      <c r="O37" s="204"/>
      <c r="P37" s="205"/>
    </row>
    <row r="38" spans="1:16" ht="15.5" x14ac:dyDescent="0.35">
      <c r="A38" s="133">
        <f>'Timesheet-Regular'!C45</f>
        <v>44760</v>
      </c>
      <c r="B38" s="71">
        <f>IFERROR(
IF('Timesheet-Regular'!J45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IF('Timesheet-Regular'!J45=0,0,'Timesheet-Regular'!D45),
IF('Timesheet-Regular'!$D$2="Sapta Sarana Sejahtera (Exim Bank)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IF('Timesheet-Regular'!$D$2="Bank Permata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45-TIME(('Timesheet-Regular'!F45-8),0,0),
IF(AND(IF(MINUTE('Timesheet-Regular'!E45-'Timesheet-Regular'!D45)&gt;29,HOUR('Timesheet-Regular'!E45-'Timesheet-Regular'!D45)+1,HOUR('Timesheet-Regular'!E45-'Timesheet-Regular'!D45))=9,'Timesheet-Regular'!F45&gt;8),0,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45+TIME(9,1,0)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=9,'Timesheet-Regular'!F45&gt;8),'Timesheet-Regular'!D45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'Timesheet-Regular'!D45+TIME(9,1,0),0))))))))),"")</f>
        <v>0</v>
      </c>
      <c r="C38" s="71">
        <f>IF(B38&gt;0,'Timesheet-Regular'!E45,0)</f>
        <v>0</v>
      </c>
      <c r="D38" s="79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MINUTE(C38-B38)&gt;0,HOUR(C38-B38)+1,HOUR(C38-B38)),IF(MINUTE(C38-B38)&gt;29,HOUR(C38-B38)+1,HOUR(C38-B38)))</f>
        <v>0</v>
      </c>
      <c r="E38" s="240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SUM(Sheet2!D38:D39),0)</f>
        <v>0</v>
      </c>
      <c r="F38" s="78" t="str">
        <f>IFERROR(IF(B38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B38&gt;0,"Yes","")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=12,'Timesheet-Regular'!F45&gt;11),"Yes",
IF(AND(IF(MINUTE('Timesheet-Regular'!E45-'Timesheet-Regular'!D45)&gt;29,HOUR('Timesheet-Regular'!E45-'Timesheet-Regular'!D45)+1,HOUR('Timesheet-Regular'!E45-'Timesheet-Regular'!D45))=12,'Timesheet-Regular'!F45&gt;11),"",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=12,'Timesheet-Regular'!F45&gt;11),"Yes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No"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"Yes","")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=9,'Timesheet-Regular'!F45&gt;8),"Yes",
IF(AND(IF(MINUTE('Timesheet-Regular'!E45-'Timesheet-Regular'!D45)&gt;29,HOUR('Timesheet-Regular'!E45-'Timesheet-Regular'!D45)+1,HOUR('Timesheet-Regular'!E45-'Timesheet-Regular'!D45))=9,'Timesheet-Regular'!F45&gt;8),"",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=9,'Timesheet-Regular'!F45&gt;8),"Yes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No"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"Yes",""))))))))),"")</f>
        <v/>
      </c>
      <c r="G38" s="78">
        <f t="shared" si="0"/>
        <v>0</v>
      </c>
      <c r="H38" s="240">
        <f>SUM(Sheet2!D38:D39)</f>
        <v>0</v>
      </c>
      <c r="I38" s="203"/>
      <c r="J38" s="204"/>
      <c r="K38" s="204"/>
      <c r="L38" s="204"/>
      <c r="M38" s="204"/>
      <c r="N38" s="204"/>
      <c r="O38" s="204"/>
      <c r="P38" s="205"/>
    </row>
    <row r="39" spans="1:16" ht="15.5" x14ac:dyDescent="0.35">
      <c r="A39" s="134"/>
      <c r="B39" s="71">
        <f>IF('Timesheet-Regular'!J46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IF('Timesheet-Regular'!D45=0,0,'Timesheet-Regular'!D46),
IF('Timesheet-Regular'!D46=0,0,
IF('Timesheet-Regular'!$D$2="Sapta Sarana Sejahtera (Exim Bank)",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11),'Timesheet-Regular'!E46-TIME(('Timesheet-Regular'!F45-10)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11),'Timesheet-Regular'!D46,
IF(AND(IF(MINUTE('Timesheet-Regular'!E45-'Timesheet-Regular'!D45)&gt;29,HOUR('Timesheet-Regular'!E45-'Timesheet-Regular'!D45)+1,HOUR('Timesheet-Regular'!E45-'Timesheet-Regular'!D45))=11,'Timesheet-Regular'!F45&gt;11),'Timesheet-Regular'!D46,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IF('Timesheet-Regular'!$D$2="Bank Permata",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46-TIME(('Timesheet-Regular'!F45-9)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46,
IF(AND(IF(MINUTE('Timesheet-Regular'!E45-'Timesheet-Regular'!D45)&gt;29,HOUR('Timesheet-Regular'!E45-'Timesheet-Regular'!D45)+1,HOUR('Timesheet-Regular'!E45-'Timesheet-Regular'!D45))=11,'Timesheet-Regular'!F45&gt;10),'Timesheet-Regular'!D46,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46-TIME(('Timesheet-Regular'!F45-8),0,0)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46,
IF(AND(IF(MINUTE('Timesheet-Regular'!E45-'Timesheet-Regular'!D45)&gt;29,HOUR('Timesheet-Regular'!E45-'Timesheet-Regular'!D45)+1,HOUR('Timesheet-Regular'!E45-'Timesheet-Regular'!D45))=9,'Timesheet-Regular'!F45&gt;8),'Timesheet-Regular'!D46,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'Timesheet-Regular'!D46+TIME(9,1,0),
IF(AND((IF(MINUTE('Timesheet-Regular'!E45-'Timesheet-Regular'!D45)&gt;29,HOUR('Timesheet-Regular'!E45-'Timesheet-Regular'!D45)+1,HOUR('Timesheet-Regular'!E45-'Timesheet-Regular'!D45))&gt;=9),(IF(MINUTE('Timesheet-Regular'!E46-'Timesheet-Regular'!D46)&gt;29,HOUR('Timesheet-Regular'!E46-'Timesheet-Regular'!D46)+1,HOUR('Timesheet-Regular'!E46-'Timesheet-Regular'!D46))&gt;=9)),'Timesheet-Regular'!D46,0))))))))))</f>
        <v>0</v>
      </c>
      <c r="C39" s="71">
        <f>IF(B39&gt;0,'Timesheet-Regular'!E46,0)</f>
        <v>0</v>
      </c>
      <c r="D39" s="79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AND(B39&gt;0,B39&lt;=C38),0,IF(MINUTE(C39-B39)&gt;0,HOUR(C39-B39)+1,HOUR(C39-B39))),IF(AND(B39&gt;0,B39&lt;=C38),0,IF(MINUTE(C39-B39)&gt;29,HOUR(C39-B39)+1,HOUR(C39-B39))))</f>
        <v>0</v>
      </c>
      <c r="E39" s="241"/>
      <c r="F39" s="78" t="str">
        <f>IFERROR(IF(B39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IF(AND(B39&gt;0,B39&lt;=C38),0,IF(B39=0,"","Yes")),
IF('Timesheet-Regular'!$D$2="Rabobank",
IF('Timesheet-Regular'!D46=0,"",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Yes",
IF(AND(IF(MINUTE('Timesheet-Regular'!E45-'Timesheet-Regular'!D45)&gt;29,HOUR('Timesheet-Regular'!E45-'Timesheet-Regular'!D45)+1,HOUR('Timesheet-Regular'!E45-'Timesheet-Regular'!D45))=12,IF(MINUTE('Timesheet-Regular'!E46-'Timesheet-Regular'!D46)&gt;29,HOUR('Timesheet-Regular'!E46-'Timesheet-Regular'!D46)+1,HOUR('Timesheet-Regular'!E46-'Timesheet-Regular'!D46))&gt;0,'Timesheet-Regular'!F45&gt;11),"Yes",
IF(AND(IF(MINUTE('Timesheet-Regular'!E46-'Timesheet-Regular'!D46)&gt;29,HOUR('Timesheet-Regular'!E46-'Timesheet-Regular'!D46)+1,HOUR('Timesheet-Regular'!E46-'Timesheet-Regular'!D46))=12,'Timesheet-Regular'!F45&gt;11),"",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Yes","No")))))),
IF('Timesheet-Regular'!D46=0,"",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Yes",
IF(AND(IF(MINUTE('Timesheet-Regular'!E45-'Timesheet-Regular'!D45)&gt;29,HOUR('Timesheet-Regular'!E45-'Timesheet-Regular'!D45)+1,HOUR('Timesheet-Regular'!E45-'Timesheet-Regular'!D45))=9,IF(MINUTE('Timesheet-Regular'!E46-'Timesheet-Regular'!D46)&gt;29,HOUR('Timesheet-Regular'!E46-'Timesheet-Regular'!D46)+1,HOUR('Timesheet-Regular'!E46-'Timesheet-Regular'!D46))&gt;0,'Timesheet-Regular'!F45&gt;8),"Yes",
IF(AND(IF(MINUTE('Timesheet-Regular'!E46-'Timesheet-Regular'!D46)&gt;29,HOUR('Timesheet-Regular'!E46-'Timesheet-Regular'!D46)+1,HOUR('Timesheet-Regular'!E46-'Timesheet-Regular'!D46))=9,'Timesheet-Regular'!F45&gt;8),"",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Yes","No"))))))))),"")</f>
        <v/>
      </c>
      <c r="G39" s="78">
        <f t="shared" si="0"/>
        <v>0</v>
      </c>
      <c r="H39" s="241"/>
      <c r="I39" s="203"/>
      <c r="J39" s="204"/>
      <c r="K39" s="204"/>
      <c r="L39" s="204"/>
      <c r="M39" s="204"/>
      <c r="N39" s="204"/>
      <c r="O39" s="204"/>
      <c r="P39" s="205"/>
    </row>
    <row r="40" spans="1:16" ht="15.5" x14ac:dyDescent="0.35">
      <c r="A40" s="133">
        <f>'Timesheet-Regular'!C47</f>
        <v>44761</v>
      </c>
      <c r="B40" s="71">
        <f>IFERROR(
IF('Timesheet-Regular'!J47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IF('Timesheet-Regular'!J47=0,0,'Timesheet-Regular'!D47),
IF('Timesheet-Regular'!$D$2="Sapta Sarana Sejahtera (Exim Bank)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IF('Timesheet-Regular'!$D$2="Bank Permata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47-TIME(('Timesheet-Regular'!F47-8),0,0),
IF(AND(IF(MINUTE('Timesheet-Regular'!E47-'Timesheet-Regular'!D47)&gt;29,HOUR('Timesheet-Regular'!E47-'Timesheet-Regular'!D47)+1,HOUR('Timesheet-Regular'!E47-'Timesheet-Regular'!D47))=9,'Timesheet-Regular'!F47&gt;8),0,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47+TIME(9,1,0)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=9,'Timesheet-Regular'!F47&gt;8),'Timesheet-Regular'!D47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'Timesheet-Regular'!D47+TIME(9,1,0),0))))))))),"")</f>
        <v>0</v>
      </c>
      <c r="C40" s="71">
        <f>IF(B40&gt;0,'Timesheet-Regular'!E47,0)</f>
        <v>0</v>
      </c>
      <c r="D40" s="79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MINUTE(C40-B40)&gt;0,HOUR(C40-B40)+1,HOUR(C40-B40)),IF(MINUTE(C40-B40)&gt;29,HOUR(C40-B40)+1,HOUR(C40-B40)))</f>
        <v>0</v>
      </c>
      <c r="E40" s="240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SUM(Sheet2!D40:D41),0)</f>
        <v>0</v>
      </c>
      <c r="F40" s="78" t="str">
        <f>IFERROR(IF(B40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B40&gt;0,"Yes","")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=12,'Timesheet-Regular'!F47&gt;11),"Yes",
IF(AND(IF(MINUTE('Timesheet-Regular'!E47-'Timesheet-Regular'!D47)&gt;29,HOUR('Timesheet-Regular'!E47-'Timesheet-Regular'!D47)+1,HOUR('Timesheet-Regular'!E47-'Timesheet-Regular'!D47))=12,'Timesheet-Regular'!F47&gt;11),"",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=12,'Timesheet-Regular'!F47&gt;11),"Yes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No"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"Yes","")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=9,'Timesheet-Regular'!F47&gt;8),"Yes",
IF(AND(IF(MINUTE('Timesheet-Regular'!E47-'Timesheet-Regular'!D47)&gt;29,HOUR('Timesheet-Regular'!E47-'Timesheet-Regular'!D47)+1,HOUR('Timesheet-Regular'!E47-'Timesheet-Regular'!D47))=9,'Timesheet-Regular'!F47&gt;8),"",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=9,'Timesheet-Regular'!F47&gt;8),"Yes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No"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"Yes",""))))))))),"")</f>
        <v/>
      </c>
      <c r="G40" s="78">
        <f t="shared" si="0"/>
        <v>0</v>
      </c>
      <c r="H40" s="240">
        <f>SUM(Sheet2!D40:D41)</f>
        <v>0</v>
      </c>
      <c r="I40" s="203"/>
      <c r="J40" s="204"/>
      <c r="K40" s="204"/>
      <c r="L40" s="204"/>
      <c r="M40" s="204"/>
      <c r="N40" s="204"/>
      <c r="O40" s="204"/>
      <c r="P40" s="205"/>
    </row>
    <row r="41" spans="1:16" ht="15.5" x14ac:dyDescent="0.35">
      <c r="A41" s="134"/>
      <c r="B41" s="71">
        <f>IF('Timesheet-Regular'!J48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IF('Timesheet-Regular'!D47=0,0,'Timesheet-Regular'!D48),
IF('Timesheet-Regular'!D48=0,0,
IF('Timesheet-Regular'!$D$2="Sapta Sarana Sejahtera (Exim Bank)",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11),'Timesheet-Regular'!E48-TIME(('Timesheet-Regular'!F47-10)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11),'Timesheet-Regular'!D48,
IF(AND(IF(MINUTE('Timesheet-Regular'!E47-'Timesheet-Regular'!D47)&gt;29,HOUR('Timesheet-Regular'!E47-'Timesheet-Regular'!D47)+1,HOUR('Timesheet-Regular'!E47-'Timesheet-Regular'!D47))=11,'Timesheet-Regular'!F47&gt;11),'Timesheet-Regular'!D48,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IF('Timesheet-Regular'!$D$2="Bank Permata",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48-TIME(('Timesheet-Regular'!F47-9)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48,
IF(AND(IF(MINUTE('Timesheet-Regular'!E47-'Timesheet-Regular'!D47)&gt;29,HOUR('Timesheet-Regular'!E47-'Timesheet-Regular'!D47)+1,HOUR('Timesheet-Regular'!E47-'Timesheet-Regular'!D47))=11,'Timesheet-Regular'!F47&gt;10),'Timesheet-Regular'!D48,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48-TIME(('Timesheet-Regular'!F47-8),0,0)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48,
IF(AND(IF(MINUTE('Timesheet-Regular'!E47-'Timesheet-Regular'!D47)&gt;29,HOUR('Timesheet-Regular'!E47-'Timesheet-Regular'!D47)+1,HOUR('Timesheet-Regular'!E47-'Timesheet-Regular'!D47))=9,'Timesheet-Regular'!F47&gt;8),'Timesheet-Regular'!D48,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'Timesheet-Regular'!D48+TIME(9,1,0),
IF(AND((IF(MINUTE('Timesheet-Regular'!E47-'Timesheet-Regular'!D47)&gt;29,HOUR('Timesheet-Regular'!E47-'Timesheet-Regular'!D47)+1,HOUR('Timesheet-Regular'!E47-'Timesheet-Regular'!D47))&gt;=9),(IF(MINUTE('Timesheet-Regular'!E48-'Timesheet-Regular'!D48)&gt;29,HOUR('Timesheet-Regular'!E48-'Timesheet-Regular'!D48)+1,HOUR('Timesheet-Regular'!E48-'Timesheet-Regular'!D48))&gt;=9)),'Timesheet-Regular'!D48,0))))))))))</f>
        <v>0</v>
      </c>
      <c r="C41" s="71">
        <f>IF(B41&gt;0,'Timesheet-Regular'!E48,0)</f>
        <v>0</v>
      </c>
      <c r="D41" s="79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AND(B41&gt;0,B41&lt;=C40),0,IF(MINUTE(C41-B41)&gt;0,HOUR(C41-B41)+1,HOUR(C41-B41))),IF(AND(B41&gt;0,B41&lt;=C40),0,IF(MINUTE(C41-B41)&gt;29,HOUR(C41-B41)+1,HOUR(C41-B41))))</f>
        <v>0</v>
      </c>
      <c r="E41" s="241"/>
      <c r="F41" s="78" t="str">
        <f>IFERROR(IF(B41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IF(AND(B41&gt;0,B41&lt;=C40),0,IF(B41=0,"","Yes")),
IF('Timesheet-Regular'!$D$2="Rabobank",
IF('Timesheet-Regular'!D48=0,"",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Yes",
IF(AND(IF(MINUTE('Timesheet-Regular'!E47-'Timesheet-Regular'!D47)&gt;29,HOUR('Timesheet-Regular'!E47-'Timesheet-Regular'!D47)+1,HOUR('Timesheet-Regular'!E47-'Timesheet-Regular'!D47))=12,IF(MINUTE('Timesheet-Regular'!E48-'Timesheet-Regular'!D48)&gt;29,HOUR('Timesheet-Regular'!E48-'Timesheet-Regular'!D48)+1,HOUR('Timesheet-Regular'!E48-'Timesheet-Regular'!D48))&gt;0,'Timesheet-Regular'!F47&gt;11),"Yes",
IF(AND(IF(MINUTE('Timesheet-Regular'!E48-'Timesheet-Regular'!D48)&gt;29,HOUR('Timesheet-Regular'!E48-'Timesheet-Regular'!D48)+1,HOUR('Timesheet-Regular'!E48-'Timesheet-Regular'!D48))=12,'Timesheet-Regular'!F47&gt;11),"",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Yes","No")))))),
IF('Timesheet-Regular'!D48=0,"",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Yes",
IF(AND(IF(MINUTE('Timesheet-Regular'!E47-'Timesheet-Regular'!D47)&gt;29,HOUR('Timesheet-Regular'!E47-'Timesheet-Regular'!D47)+1,HOUR('Timesheet-Regular'!E47-'Timesheet-Regular'!D47))=9,IF(MINUTE('Timesheet-Regular'!E48-'Timesheet-Regular'!D48)&gt;29,HOUR('Timesheet-Regular'!E48-'Timesheet-Regular'!D48)+1,HOUR('Timesheet-Regular'!E48-'Timesheet-Regular'!D48))&gt;0,'Timesheet-Regular'!F47&gt;8),"Yes",
IF(AND(IF(MINUTE('Timesheet-Regular'!E48-'Timesheet-Regular'!D48)&gt;29,HOUR('Timesheet-Regular'!E48-'Timesheet-Regular'!D48)+1,HOUR('Timesheet-Regular'!E48-'Timesheet-Regular'!D48))=9,'Timesheet-Regular'!F47&gt;8),"",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Yes","No"))))))))),"")</f>
        <v/>
      </c>
      <c r="G41" s="78">
        <f t="shared" si="0"/>
        <v>0</v>
      </c>
      <c r="H41" s="241"/>
      <c r="I41" s="203"/>
      <c r="J41" s="204"/>
      <c r="K41" s="204"/>
      <c r="L41" s="204"/>
      <c r="M41" s="204"/>
      <c r="N41" s="204"/>
      <c r="O41" s="204"/>
      <c r="P41" s="205"/>
    </row>
    <row r="42" spans="1:16" ht="15.5" x14ac:dyDescent="0.35">
      <c r="A42" s="133">
        <f>'Timesheet-Regular'!C49</f>
        <v>44762</v>
      </c>
      <c r="B42" s="71">
        <f>IFERROR(
IF('Timesheet-Regular'!J49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IF('Timesheet-Regular'!J49=0,0,'Timesheet-Regular'!D49),
IF('Timesheet-Regular'!$D$2="Sapta Sarana Sejahtera (Exim Bank)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IF('Timesheet-Regular'!$D$2="Bank Permata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49-TIME(('Timesheet-Regular'!F49-8),0,0),
IF(AND(IF(MINUTE('Timesheet-Regular'!E49-'Timesheet-Regular'!D49)&gt;29,HOUR('Timesheet-Regular'!E49-'Timesheet-Regular'!D49)+1,HOUR('Timesheet-Regular'!E49-'Timesheet-Regular'!D49))=9,'Timesheet-Regular'!F49&gt;8),0,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49+TIME(9,1,0)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=9,'Timesheet-Regular'!F49&gt;8),'Timesheet-Regular'!D49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'Timesheet-Regular'!D49+TIME(9,1,0),0))))))))),"")</f>
        <v>0</v>
      </c>
      <c r="C42" s="71">
        <f>IF(B42&gt;0,'Timesheet-Regular'!E49,0)</f>
        <v>0</v>
      </c>
      <c r="D42" s="79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MINUTE(C42-B42)&gt;0,HOUR(C42-B42)+1,HOUR(C42-B42)),IF(MINUTE(C42-B42)&gt;29,HOUR(C42-B42)+1,HOUR(C42-B42)))</f>
        <v>0</v>
      </c>
      <c r="E42" s="240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SUM(Sheet2!D42:D43),0)</f>
        <v>0</v>
      </c>
      <c r="F42" s="78" t="str">
        <f>IFERROR(IF(B42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B42&gt;0,"Yes","")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=12,'Timesheet-Regular'!F49&gt;11),"Yes",
IF(AND(IF(MINUTE('Timesheet-Regular'!E49-'Timesheet-Regular'!D49)&gt;29,HOUR('Timesheet-Regular'!E49-'Timesheet-Regular'!D49)+1,HOUR('Timesheet-Regular'!E49-'Timesheet-Regular'!D49))=12,'Timesheet-Regular'!F49&gt;11),"",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=12,'Timesheet-Regular'!F49&gt;11),"Yes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No"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"Yes","")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=9,'Timesheet-Regular'!F49&gt;8),"Yes",
IF(AND(IF(MINUTE('Timesheet-Regular'!E49-'Timesheet-Regular'!D49)&gt;29,HOUR('Timesheet-Regular'!E49-'Timesheet-Regular'!D49)+1,HOUR('Timesheet-Regular'!E49-'Timesheet-Regular'!D49))=9,'Timesheet-Regular'!F49&gt;8),"",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=9,'Timesheet-Regular'!F49&gt;8),"Yes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No"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"Yes",""))))))))),"")</f>
        <v/>
      </c>
      <c r="G42" s="78">
        <f t="shared" si="0"/>
        <v>0</v>
      </c>
      <c r="H42" s="240">
        <f>SUM(Sheet2!D42:D43)</f>
        <v>0</v>
      </c>
      <c r="I42" s="203"/>
      <c r="J42" s="204"/>
      <c r="K42" s="204"/>
      <c r="L42" s="204"/>
      <c r="M42" s="204"/>
      <c r="N42" s="204"/>
      <c r="O42" s="204"/>
      <c r="P42" s="205"/>
    </row>
    <row r="43" spans="1:16" ht="15.5" x14ac:dyDescent="0.35">
      <c r="A43" s="134"/>
      <c r="B43" s="71">
        <f>IF('Timesheet-Regular'!J50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IF('Timesheet-Regular'!D49=0,0,'Timesheet-Regular'!D50),
IF('Timesheet-Regular'!D50=0,0,
IF('Timesheet-Regular'!$D$2="Sapta Sarana Sejahtera (Exim Bank)",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11),'Timesheet-Regular'!E50-TIME(('Timesheet-Regular'!F49-10)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11),'Timesheet-Regular'!D50,
IF(AND(IF(MINUTE('Timesheet-Regular'!E49-'Timesheet-Regular'!D49)&gt;29,HOUR('Timesheet-Regular'!E49-'Timesheet-Regular'!D49)+1,HOUR('Timesheet-Regular'!E49-'Timesheet-Regular'!D49))=11,'Timesheet-Regular'!F49&gt;11),'Timesheet-Regular'!D50,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IF('Timesheet-Regular'!$D$2="Bank Permata",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50-TIME(('Timesheet-Regular'!F49-9)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50,
IF(AND(IF(MINUTE('Timesheet-Regular'!E49-'Timesheet-Regular'!D49)&gt;29,HOUR('Timesheet-Regular'!E49-'Timesheet-Regular'!D49)+1,HOUR('Timesheet-Regular'!E49-'Timesheet-Regular'!D49))=11,'Timesheet-Regular'!F49&gt;10),'Timesheet-Regular'!D50,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50-TIME(('Timesheet-Regular'!F49-8),0,0)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50,
IF(AND(IF(MINUTE('Timesheet-Regular'!E49-'Timesheet-Regular'!D49)&gt;29,HOUR('Timesheet-Regular'!E49-'Timesheet-Regular'!D49)+1,HOUR('Timesheet-Regular'!E49-'Timesheet-Regular'!D49))=9,'Timesheet-Regular'!F49&gt;8),'Timesheet-Regular'!D50,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'Timesheet-Regular'!D50+TIME(9,1,0),
IF(AND((IF(MINUTE('Timesheet-Regular'!E49-'Timesheet-Regular'!D49)&gt;29,HOUR('Timesheet-Regular'!E49-'Timesheet-Regular'!D49)+1,HOUR('Timesheet-Regular'!E49-'Timesheet-Regular'!D49))&gt;=9),(IF(MINUTE('Timesheet-Regular'!E50-'Timesheet-Regular'!D50)&gt;29,HOUR('Timesheet-Regular'!E50-'Timesheet-Regular'!D50)+1,HOUR('Timesheet-Regular'!E50-'Timesheet-Regular'!D50))&gt;=9)),'Timesheet-Regular'!D50,0))))))))))</f>
        <v>0</v>
      </c>
      <c r="C43" s="71">
        <f>IF(B43&gt;0,'Timesheet-Regular'!E50,0)</f>
        <v>0</v>
      </c>
      <c r="D43" s="79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AND(B43&gt;0,B43&lt;=C42),0,IF(MINUTE(C43-B43)&gt;0,HOUR(C43-B43)+1,HOUR(C43-B43))),IF(AND(B43&gt;0,B43&lt;=C42),0,IF(MINUTE(C43-B43)&gt;29,HOUR(C43-B43)+1,HOUR(C43-B43))))</f>
        <v>0</v>
      </c>
      <c r="E43" s="241"/>
      <c r="F43" s="78" t="str">
        <f>IFERROR(IF(B43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IF(AND(B43&gt;0,B43&lt;=C42),0,IF(B43=0,"","Yes")),
IF('Timesheet-Regular'!$D$2="Rabobank",
IF('Timesheet-Regular'!D50=0,"",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Yes",
IF(AND(IF(MINUTE('Timesheet-Regular'!E49-'Timesheet-Regular'!D49)&gt;29,HOUR('Timesheet-Regular'!E49-'Timesheet-Regular'!D49)+1,HOUR('Timesheet-Regular'!E49-'Timesheet-Regular'!D49))=12,IF(MINUTE('Timesheet-Regular'!E50-'Timesheet-Regular'!D50)&gt;29,HOUR('Timesheet-Regular'!E50-'Timesheet-Regular'!D50)+1,HOUR('Timesheet-Regular'!E50-'Timesheet-Regular'!D50))&gt;0,'Timesheet-Regular'!F49&gt;11),"Yes",
IF(AND(IF(MINUTE('Timesheet-Regular'!E50-'Timesheet-Regular'!D50)&gt;29,HOUR('Timesheet-Regular'!E50-'Timesheet-Regular'!D50)+1,HOUR('Timesheet-Regular'!E50-'Timesheet-Regular'!D50))=12,'Timesheet-Regular'!F49&gt;11),"",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Yes","No")))))),
IF('Timesheet-Regular'!D50=0,"",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Yes",
IF(AND(IF(MINUTE('Timesheet-Regular'!E49-'Timesheet-Regular'!D49)&gt;29,HOUR('Timesheet-Regular'!E49-'Timesheet-Regular'!D49)+1,HOUR('Timesheet-Regular'!E49-'Timesheet-Regular'!D49))=9,IF(MINUTE('Timesheet-Regular'!E50-'Timesheet-Regular'!D50)&gt;29,HOUR('Timesheet-Regular'!E50-'Timesheet-Regular'!D50)+1,HOUR('Timesheet-Regular'!E50-'Timesheet-Regular'!D50))&gt;0,'Timesheet-Regular'!F49&gt;8),"Yes",
IF(AND(IF(MINUTE('Timesheet-Regular'!E50-'Timesheet-Regular'!D50)&gt;29,HOUR('Timesheet-Regular'!E50-'Timesheet-Regular'!D50)+1,HOUR('Timesheet-Regular'!E50-'Timesheet-Regular'!D50))=9,'Timesheet-Regular'!F49&gt;8),"",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Yes","No"))))))))),"")</f>
        <v/>
      </c>
      <c r="G43" s="78">
        <f t="shared" si="0"/>
        <v>0</v>
      </c>
      <c r="H43" s="241"/>
      <c r="I43" s="203"/>
      <c r="J43" s="204"/>
      <c r="K43" s="204"/>
      <c r="L43" s="204"/>
      <c r="M43" s="204"/>
      <c r="N43" s="204"/>
      <c r="O43" s="204"/>
      <c r="P43" s="205"/>
    </row>
    <row r="44" spans="1:16" ht="15.5" x14ac:dyDescent="0.35">
      <c r="A44" s="133">
        <f>'Timesheet-Regular'!C51</f>
        <v>44763</v>
      </c>
      <c r="B44" s="71">
        <f>IFERROR(
IF('Timesheet-Regular'!J51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IF('Timesheet-Regular'!J51=0,0,'Timesheet-Regular'!D51),
IF('Timesheet-Regular'!$D$2="Sapta Sarana Sejahtera (Exim Bank)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IF('Timesheet-Regular'!$D$2="Bank Permata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51-TIME(('Timesheet-Regular'!F51-8),0,0),
IF(AND(IF(MINUTE('Timesheet-Regular'!E51-'Timesheet-Regular'!D51)&gt;29,HOUR('Timesheet-Regular'!E51-'Timesheet-Regular'!D51)+1,HOUR('Timesheet-Regular'!E51-'Timesheet-Regular'!D51))=9,'Timesheet-Regular'!F51&gt;8),0,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51+TIME(9,1,0)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=9,'Timesheet-Regular'!F51&gt;8),'Timesheet-Regular'!D51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'Timesheet-Regular'!D51+TIME(9,1,0),0))))))))),"")</f>
        <v>0</v>
      </c>
      <c r="C44" s="71">
        <f>IF(B44&gt;0,'Timesheet-Regular'!E51,0)</f>
        <v>0</v>
      </c>
      <c r="D44" s="79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MINUTE(C44-B44)&gt;0,HOUR(C44-B44)+1,HOUR(C44-B44)),IF(MINUTE(C44-B44)&gt;29,HOUR(C44-B44)+1,HOUR(C44-B44)))</f>
        <v>0</v>
      </c>
      <c r="E44" s="240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SUM(Sheet2!D44:D45),0)</f>
        <v>0</v>
      </c>
      <c r="F44" s="78" t="str">
        <f>IFERROR(IF(B44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B44&gt;0,"Yes","")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=12,'Timesheet-Regular'!F51&gt;11),"Yes",
IF(AND(IF(MINUTE('Timesheet-Regular'!E51-'Timesheet-Regular'!D51)&gt;29,HOUR('Timesheet-Regular'!E51-'Timesheet-Regular'!D51)+1,HOUR('Timesheet-Regular'!E51-'Timesheet-Regular'!D51))=12,'Timesheet-Regular'!F51&gt;11),"",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=12,'Timesheet-Regular'!F51&gt;11),"Yes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No"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"Yes","")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=9,'Timesheet-Regular'!F51&gt;8),"Yes",
IF(AND(IF(MINUTE('Timesheet-Regular'!E51-'Timesheet-Regular'!D51)&gt;29,HOUR('Timesheet-Regular'!E51-'Timesheet-Regular'!D51)+1,HOUR('Timesheet-Regular'!E51-'Timesheet-Regular'!D51))=9,'Timesheet-Regular'!F51&gt;8),"",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=9,'Timesheet-Regular'!F51&gt;8),"Yes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No"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"Yes",""))))))))),"")</f>
        <v/>
      </c>
      <c r="G44" s="78">
        <f t="shared" si="0"/>
        <v>0</v>
      </c>
      <c r="H44" s="240">
        <f>SUM(Sheet2!D44:D45)</f>
        <v>0</v>
      </c>
      <c r="I44" s="203"/>
      <c r="J44" s="204"/>
      <c r="K44" s="204"/>
      <c r="L44" s="204"/>
      <c r="M44" s="204"/>
      <c r="N44" s="204"/>
      <c r="O44" s="204"/>
      <c r="P44" s="205"/>
    </row>
    <row r="45" spans="1:16" ht="15.5" x14ac:dyDescent="0.35">
      <c r="A45" s="134"/>
      <c r="B45" s="71">
        <f>IF('Timesheet-Regular'!J52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IF('Timesheet-Regular'!D51=0,0,'Timesheet-Regular'!D52),
IF('Timesheet-Regular'!D52=0,0,
IF('Timesheet-Regular'!$D$2="Sapta Sarana Sejahtera (Exim Bank)",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11),'Timesheet-Regular'!E52-TIME(('Timesheet-Regular'!F51-10)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11),'Timesheet-Regular'!D52,
IF(AND(IF(MINUTE('Timesheet-Regular'!E51-'Timesheet-Regular'!D51)&gt;29,HOUR('Timesheet-Regular'!E51-'Timesheet-Regular'!D51)+1,HOUR('Timesheet-Regular'!E51-'Timesheet-Regular'!D51))=11,'Timesheet-Regular'!F51&gt;11),'Timesheet-Regular'!D52,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IF('Timesheet-Regular'!$D$2="Bank Permata",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52-TIME(('Timesheet-Regular'!F51-9)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52,
IF(AND(IF(MINUTE('Timesheet-Regular'!E51-'Timesheet-Regular'!D51)&gt;29,HOUR('Timesheet-Regular'!E51-'Timesheet-Regular'!D51)+1,HOUR('Timesheet-Regular'!E51-'Timesheet-Regular'!D51))=11,'Timesheet-Regular'!F51&gt;10),'Timesheet-Regular'!D52,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52-TIME(('Timesheet-Regular'!F51-8),0,0)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52,
IF(AND(IF(MINUTE('Timesheet-Regular'!E51-'Timesheet-Regular'!D51)&gt;29,HOUR('Timesheet-Regular'!E51-'Timesheet-Regular'!D51)+1,HOUR('Timesheet-Regular'!E51-'Timesheet-Regular'!D51))=9,'Timesheet-Regular'!F51&gt;8),'Timesheet-Regular'!D52,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'Timesheet-Regular'!D52+TIME(9,1,0),
IF(AND((IF(MINUTE('Timesheet-Regular'!E51-'Timesheet-Regular'!D51)&gt;29,HOUR('Timesheet-Regular'!E51-'Timesheet-Regular'!D51)+1,HOUR('Timesheet-Regular'!E51-'Timesheet-Regular'!D51))&gt;=9),(IF(MINUTE('Timesheet-Regular'!E52-'Timesheet-Regular'!D52)&gt;29,HOUR('Timesheet-Regular'!E52-'Timesheet-Regular'!D52)+1,HOUR('Timesheet-Regular'!E52-'Timesheet-Regular'!D52))&gt;=9)),'Timesheet-Regular'!D52,0))))))))))</f>
        <v>0</v>
      </c>
      <c r="C45" s="71">
        <f>IF(B45&gt;0,'Timesheet-Regular'!E52,0)</f>
        <v>0</v>
      </c>
      <c r="D45" s="79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AND(B45&gt;0,B45&lt;=C44),0,IF(MINUTE(C45-B45)&gt;0,HOUR(C45-B45)+1,HOUR(C45-B45))),IF(AND(B45&gt;0,B45&lt;=C44),0,IF(MINUTE(C45-B45)&gt;29,HOUR(C45-B45)+1,HOUR(C45-B45))))</f>
        <v>0</v>
      </c>
      <c r="E45" s="241"/>
      <c r="F45" s="78" t="str">
        <f>IFERROR(IF(B45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IF(AND(B45&gt;0,B45&lt;=C44),0,IF(B45=0,"","Yes")),
IF('Timesheet-Regular'!$D$2="Rabobank",
IF('Timesheet-Regular'!D52=0,"",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Yes",
IF(AND(IF(MINUTE('Timesheet-Regular'!E51-'Timesheet-Regular'!D51)&gt;29,HOUR('Timesheet-Regular'!E51-'Timesheet-Regular'!D51)+1,HOUR('Timesheet-Regular'!E51-'Timesheet-Regular'!D51))=12,IF(MINUTE('Timesheet-Regular'!E52-'Timesheet-Regular'!D52)&gt;29,HOUR('Timesheet-Regular'!E52-'Timesheet-Regular'!D52)+1,HOUR('Timesheet-Regular'!E52-'Timesheet-Regular'!D52))&gt;0,'Timesheet-Regular'!F51&gt;11),"Yes",
IF(AND(IF(MINUTE('Timesheet-Regular'!E52-'Timesheet-Regular'!D52)&gt;29,HOUR('Timesheet-Regular'!E52-'Timesheet-Regular'!D52)+1,HOUR('Timesheet-Regular'!E52-'Timesheet-Regular'!D52))=12,'Timesheet-Regular'!F51&gt;11),"",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Yes","No")))))),
IF('Timesheet-Regular'!D52=0,"",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Yes",
IF(AND(IF(MINUTE('Timesheet-Regular'!E51-'Timesheet-Regular'!D51)&gt;29,HOUR('Timesheet-Regular'!E51-'Timesheet-Regular'!D51)+1,HOUR('Timesheet-Regular'!E51-'Timesheet-Regular'!D51))=9,IF(MINUTE('Timesheet-Regular'!E52-'Timesheet-Regular'!D52)&gt;29,HOUR('Timesheet-Regular'!E52-'Timesheet-Regular'!D52)+1,HOUR('Timesheet-Regular'!E52-'Timesheet-Regular'!D52))&gt;0,'Timesheet-Regular'!F51&gt;8),"Yes",
IF(AND(IF(MINUTE('Timesheet-Regular'!E52-'Timesheet-Regular'!D52)&gt;29,HOUR('Timesheet-Regular'!E52-'Timesheet-Regular'!D52)+1,HOUR('Timesheet-Regular'!E52-'Timesheet-Regular'!D52))=9,'Timesheet-Regular'!F51&gt;8),"",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Yes","No"))))))))),"")</f>
        <v/>
      </c>
      <c r="G45" s="78">
        <f t="shared" si="0"/>
        <v>0</v>
      </c>
      <c r="H45" s="241"/>
      <c r="I45" s="203"/>
      <c r="J45" s="204"/>
      <c r="K45" s="204"/>
      <c r="L45" s="204"/>
      <c r="M45" s="204"/>
      <c r="N45" s="204"/>
      <c r="O45" s="204"/>
      <c r="P45" s="205"/>
    </row>
    <row r="46" spans="1:16" ht="15.5" x14ac:dyDescent="0.35">
      <c r="A46" s="133">
        <f>'Timesheet-Regular'!C53</f>
        <v>44764</v>
      </c>
      <c r="B46" s="71">
        <f>IFERROR(
IF('Timesheet-Regular'!J53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IF('Timesheet-Regular'!J53=0,0,'Timesheet-Regular'!D53),
IF('Timesheet-Regular'!$D$2="Sapta Sarana Sejahtera (Exim Bank)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IF('Timesheet-Regular'!$D$2="Bank Permata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53-TIME(('Timesheet-Regular'!F53-8),0,0),
IF(AND(IF(MINUTE('Timesheet-Regular'!E53-'Timesheet-Regular'!D53)&gt;29,HOUR('Timesheet-Regular'!E53-'Timesheet-Regular'!D53)+1,HOUR('Timesheet-Regular'!E53-'Timesheet-Regular'!D53))=9,'Timesheet-Regular'!F53&gt;8),0,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53+TIME(9,1,0)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=9,'Timesheet-Regular'!F53&gt;8),'Timesheet-Regular'!D53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'Timesheet-Regular'!D53+TIME(9,1,0),0))))))))),"")</f>
        <v>0</v>
      </c>
      <c r="C46" s="71">
        <f>IF(B46&gt;0,'Timesheet-Regular'!E53,0)</f>
        <v>0</v>
      </c>
      <c r="D46" s="79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MINUTE(C46-B46)&gt;0,HOUR(C46-B46)+1,HOUR(C46-B46)),IF(MINUTE(C46-B46)&gt;29,HOUR(C46-B46)+1,HOUR(C46-B46)))</f>
        <v>0</v>
      </c>
      <c r="E46" s="240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SUM(Sheet2!D46:D47),0)</f>
        <v>0</v>
      </c>
      <c r="F46" s="78" t="str">
        <f>IFERROR(IF(B46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B46&gt;0,"Yes","")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=12,'Timesheet-Regular'!F53&gt;11),"Yes",
IF(AND(IF(MINUTE('Timesheet-Regular'!E53-'Timesheet-Regular'!D53)&gt;29,HOUR('Timesheet-Regular'!E53-'Timesheet-Regular'!D53)+1,HOUR('Timesheet-Regular'!E53-'Timesheet-Regular'!D53))=12,'Timesheet-Regular'!F53&gt;11),"",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=12,'Timesheet-Regular'!F53&gt;11),"Yes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No"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"Yes","")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=9,'Timesheet-Regular'!F53&gt;8),"Yes",
IF(AND(IF(MINUTE('Timesheet-Regular'!E53-'Timesheet-Regular'!D53)&gt;29,HOUR('Timesheet-Regular'!E53-'Timesheet-Regular'!D53)+1,HOUR('Timesheet-Regular'!E53-'Timesheet-Regular'!D53))=9,'Timesheet-Regular'!F53&gt;8),"",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=9,'Timesheet-Regular'!F53&gt;8),"Yes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No"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"Yes",""))))))))),"")</f>
        <v/>
      </c>
      <c r="G46" s="78">
        <f t="shared" si="0"/>
        <v>0</v>
      </c>
      <c r="H46" s="240">
        <f>SUM(Sheet2!D46:D47)</f>
        <v>0</v>
      </c>
      <c r="I46" s="203"/>
      <c r="J46" s="204"/>
      <c r="K46" s="204"/>
      <c r="L46" s="204"/>
      <c r="M46" s="204"/>
      <c r="N46" s="204"/>
      <c r="O46" s="204"/>
      <c r="P46" s="205"/>
    </row>
    <row r="47" spans="1:16" ht="15.5" x14ac:dyDescent="0.35">
      <c r="A47" s="134"/>
      <c r="B47" s="71">
        <f>IF('Timesheet-Regular'!J54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IF('Timesheet-Regular'!D53=0,0,'Timesheet-Regular'!D54),
IF('Timesheet-Regular'!D54=0,0,
IF('Timesheet-Regular'!$D$2="Sapta Sarana Sejahtera (Exim Bank)",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11),'Timesheet-Regular'!E54-TIME(('Timesheet-Regular'!F53-10)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11),'Timesheet-Regular'!D54,
IF(AND(IF(MINUTE('Timesheet-Regular'!E53-'Timesheet-Regular'!D53)&gt;29,HOUR('Timesheet-Regular'!E53-'Timesheet-Regular'!D53)+1,HOUR('Timesheet-Regular'!E53-'Timesheet-Regular'!D53))=11,'Timesheet-Regular'!F53&gt;11),'Timesheet-Regular'!D54,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IF('Timesheet-Regular'!$D$2="Bank Permata",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54-TIME(('Timesheet-Regular'!F53-9)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54,
IF(AND(IF(MINUTE('Timesheet-Regular'!E53-'Timesheet-Regular'!D53)&gt;29,HOUR('Timesheet-Regular'!E53-'Timesheet-Regular'!D53)+1,HOUR('Timesheet-Regular'!E53-'Timesheet-Regular'!D53))=11,'Timesheet-Regular'!F53&gt;10),'Timesheet-Regular'!D54,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54-TIME(('Timesheet-Regular'!F53-8),0,0)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54,
IF(AND(IF(MINUTE('Timesheet-Regular'!E53-'Timesheet-Regular'!D53)&gt;29,HOUR('Timesheet-Regular'!E53-'Timesheet-Regular'!D53)+1,HOUR('Timesheet-Regular'!E53-'Timesheet-Regular'!D53))=9,'Timesheet-Regular'!F53&gt;8),'Timesheet-Regular'!D54,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'Timesheet-Regular'!D54+TIME(9,1,0),
IF(AND((IF(MINUTE('Timesheet-Regular'!E53-'Timesheet-Regular'!D53)&gt;29,HOUR('Timesheet-Regular'!E53-'Timesheet-Regular'!D53)+1,HOUR('Timesheet-Regular'!E53-'Timesheet-Regular'!D53))&gt;=9),(IF(MINUTE('Timesheet-Regular'!E54-'Timesheet-Regular'!D54)&gt;29,HOUR('Timesheet-Regular'!E54-'Timesheet-Regular'!D54)+1,HOUR('Timesheet-Regular'!E54-'Timesheet-Regular'!D54))&gt;=9)),'Timesheet-Regular'!D54,0))))))))))</f>
        <v>0</v>
      </c>
      <c r="C47" s="71">
        <f>IF(B47&gt;0,'Timesheet-Regular'!E54,0)</f>
        <v>0</v>
      </c>
      <c r="D47" s="79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AND(B47&gt;0,B47&lt;=C46),0,IF(MINUTE(C47-B47)&gt;0,HOUR(C47-B47)+1,HOUR(C47-B47))),IF(AND(B47&gt;0,B47&lt;=C46),0,IF(MINUTE(C47-B47)&gt;29,HOUR(C47-B47)+1,HOUR(C47-B47))))</f>
        <v>0</v>
      </c>
      <c r="E47" s="241"/>
      <c r="F47" s="78" t="str">
        <f>IFERROR(IF(B47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IF(AND(B47&gt;0,B47&lt;=C46),0,IF(B47=0,"","Yes")),
IF('Timesheet-Regular'!$D$2="Rabobank",
IF('Timesheet-Regular'!D54=0,"",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Yes",
IF(AND(IF(MINUTE('Timesheet-Regular'!E53-'Timesheet-Regular'!D53)&gt;29,HOUR('Timesheet-Regular'!E53-'Timesheet-Regular'!D53)+1,HOUR('Timesheet-Regular'!E53-'Timesheet-Regular'!D53))=12,IF(MINUTE('Timesheet-Regular'!E54-'Timesheet-Regular'!D54)&gt;29,HOUR('Timesheet-Regular'!E54-'Timesheet-Regular'!D54)+1,HOUR('Timesheet-Regular'!E54-'Timesheet-Regular'!D54))&gt;0,'Timesheet-Regular'!F53&gt;11),"Yes",
IF(AND(IF(MINUTE('Timesheet-Regular'!E54-'Timesheet-Regular'!D54)&gt;29,HOUR('Timesheet-Regular'!E54-'Timesheet-Regular'!D54)+1,HOUR('Timesheet-Regular'!E54-'Timesheet-Regular'!D54))=12,'Timesheet-Regular'!F53&gt;11),"",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Yes","No")))))),
IF('Timesheet-Regular'!D54=0,"",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Yes",
IF(AND(IF(MINUTE('Timesheet-Regular'!E53-'Timesheet-Regular'!D53)&gt;29,HOUR('Timesheet-Regular'!E53-'Timesheet-Regular'!D53)+1,HOUR('Timesheet-Regular'!E53-'Timesheet-Regular'!D53))=9,IF(MINUTE('Timesheet-Regular'!E54-'Timesheet-Regular'!D54)&gt;29,HOUR('Timesheet-Regular'!E54-'Timesheet-Regular'!D54)+1,HOUR('Timesheet-Regular'!E54-'Timesheet-Regular'!D54))&gt;0,'Timesheet-Regular'!F53&gt;8),"Yes",
IF(AND(IF(MINUTE('Timesheet-Regular'!E54-'Timesheet-Regular'!D54)&gt;29,HOUR('Timesheet-Regular'!E54-'Timesheet-Regular'!D54)+1,HOUR('Timesheet-Regular'!E54-'Timesheet-Regular'!D54))=9,'Timesheet-Regular'!F53&gt;8),"",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Yes","No"))))))))),"")</f>
        <v/>
      </c>
      <c r="G47" s="78">
        <f t="shared" si="0"/>
        <v>0</v>
      </c>
      <c r="H47" s="241"/>
      <c r="I47" s="203"/>
      <c r="J47" s="204"/>
      <c r="K47" s="204"/>
      <c r="L47" s="204"/>
      <c r="M47" s="204"/>
      <c r="N47" s="204"/>
      <c r="O47" s="204"/>
      <c r="P47" s="205"/>
    </row>
    <row r="48" spans="1:16" ht="15.5" x14ac:dyDescent="0.35">
      <c r="A48" s="133">
        <f>'Timesheet-Regular'!C55</f>
        <v>44765</v>
      </c>
      <c r="B48" s="71">
        <f>IFERROR(
IF('Timesheet-Regular'!J55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IF('Timesheet-Regular'!J55=0,0,'Timesheet-Regular'!D55),
IF('Timesheet-Regular'!$D$2="Sapta Sarana Sejahtera (Exim Bank)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IF('Timesheet-Regular'!$D$2="Bank Permata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55-TIME(('Timesheet-Regular'!F55-8),0,0),
IF(AND(IF(MINUTE('Timesheet-Regular'!E55-'Timesheet-Regular'!D55)&gt;29,HOUR('Timesheet-Regular'!E55-'Timesheet-Regular'!D55)+1,HOUR('Timesheet-Regular'!E55-'Timesheet-Regular'!D55))=9,'Timesheet-Regular'!F55&gt;8),0,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55+TIME(9,1,0)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=9,'Timesheet-Regular'!F55&gt;8),'Timesheet-Regular'!D55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'Timesheet-Regular'!D55+TIME(9,1,0),0))))))))),"")</f>
        <v>0</v>
      </c>
      <c r="C48" s="71">
        <f>IF(B48&gt;0,'Timesheet-Regular'!E55,0)</f>
        <v>0</v>
      </c>
      <c r="D48" s="79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MINUTE(C48-B48)&gt;0,HOUR(C48-B48)+1,HOUR(C48-B48)),IF(MINUTE(C48-B48)&gt;29,HOUR(C48-B48)+1,HOUR(C48-B48)))</f>
        <v>0</v>
      </c>
      <c r="E48" s="240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SUM(Sheet2!D48:D49),0)</f>
        <v>0</v>
      </c>
      <c r="F48" s="78" t="str">
        <f>IFERROR(IF(B48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B48&gt;0,"Yes","")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=12,'Timesheet-Regular'!F55&gt;11),"Yes",
IF(AND(IF(MINUTE('Timesheet-Regular'!E55-'Timesheet-Regular'!D55)&gt;29,HOUR('Timesheet-Regular'!E55-'Timesheet-Regular'!D55)+1,HOUR('Timesheet-Regular'!E55-'Timesheet-Regular'!D55))=12,'Timesheet-Regular'!F55&gt;11),"",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=12,'Timesheet-Regular'!F55&gt;11),"Yes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No"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"Yes","")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=9,'Timesheet-Regular'!F55&gt;8),"Yes",
IF(AND(IF(MINUTE('Timesheet-Regular'!E55-'Timesheet-Regular'!D55)&gt;29,HOUR('Timesheet-Regular'!E55-'Timesheet-Regular'!D55)+1,HOUR('Timesheet-Regular'!E55-'Timesheet-Regular'!D55))=9,'Timesheet-Regular'!F55&gt;8),"",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=9,'Timesheet-Regular'!F55&gt;8),"Yes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No"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"Yes",""))))))))),"")</f>
        <v/>
      </c>
      <c r="G48" s="78">
        <f t="shared" si="0"/>
        <v>0</v>
      </c>
      <c r="H48" s="240">
        <f>SUM(Sheet2!D48:D49)</f>
        <v>0</v>
      </c>
      <c r="I48" s="203"/>
      <c r="J48" s="204"/>
      <c r="K48" s="204"/>
      <c r="L48" s="204"/>
      <c r="M48" s="204"/>
      <c r="N48" s="204"/>
      <c r="O48" s="204"/>
      <c r="P48" s="205"/>
    </row>
    <row r="49" spans="1:16" ht="15.5" x14ac:dyDescent="0.35">
      <c r="A49" s="134"/>
      <c r="B49" s="71">
        <f>IF('Timesheet-Regular'!J56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IF('Timesheet-Regular'!D55=0,0,'Timesheet-Regular'!D56),
IF('Timesheet-Regular'!D56=0,0,
IF('Timesheet-Regular'!$D$2="Sapta Sarana Sejahtera (Exim Bank)",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11),'Timesheet-Regular'!E56-TIME(('Timesheet-Regular'!F55-10)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11),'Timesheet-Regular'!D56,
IF(AND(IF(MINUTE('Timesheet-Regular'!E55-'Timesheet-Regular'!D55)&gt;29,HOUR('Timesheet-Regular'!E55-'Timesheet-Regular'!D55)+1,HOUR('Timesheet-Regular'!E55-'Timesheet-Regular'!D55))=11,'Timesheet-Regular'!F55&gt;11),'Timesheet-Regular'!D56,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IF('Timesheet-Regular'!$D$2="Bank Permata",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56-TIME(('Timesheet-Regular'!F55-9)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56,
IF(AND(IF(MINUTE('Timesheet-Regular'!E55-'Timesheet-Regular'!D55)&gt;29,HOUR('Timesheet-Regular'!E55-'Timesheet-Regular'!D55)+1,HOUR('Timesheet-Regular'!E55-'Timesheet-Regular'!D55))=11,'Timesheet-Regular'!F55&gt;10),'Timesheet-Regular'!D56,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56-TIME(('Timesheet-Regular'!F55-8),0,0)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56,
IF(AND(IF(MINUTE('Timesheet-Regular'!E55-'Timesheet-Regular'!D55)&gt;29,HOUR('Timesheet-Regular'!E55-'Timesheet-Regular'!D55)+1,HOUR('Timesheet-Regular'!E55-'Timesheet-Regular'!D55))=9,'Timesheet-Regular'!F55&gt;8),'Timesheet-Regular'!D56,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'Timesheet-Regular'!D56+TIME(9,1,0),
IF(AND((IF(MINUTE('Timesheet-Regular'!E55-'Timesheet-Regular'!D55)&gt;29,HOUR('Timesheet-Regular'!E55-'Timesheet-Regular'!D55)+1,HOUR('Timesheet-Regular'!E55-'Timesheet-Regular'!D55))&gt;=9),(IF(MINUTE('Timesheet-Regular'!E56-'Timesheet-Regular'!D56)&gt;29,HOUR('Timesheet-Regular'!E56-'Timesheet-Regular'!D56)+1,HOUR('Timesheet-Regular'!E56-'Timesheet-Regular'!D56))&gt;=9)),'Timesheet-Regular'!D56,0))))))))))</f>
        <v>0</v>
      </c>
      <c r="C49" s="71">
        <f>IF(B49&gt;0,'Timesheet-Regular'!E56,0)</f>
        <v>0</v>
      </c>
      <c r="D49" s="79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AND(B49&gt;0,B49&lt;=C48),0,IF(MINUTE(C49-B49)&gt;0,HOUR(C49-B49)+1,HOUR(C49-B49))),IF(AND(B49&gt;0,B49&lt;=C48),0,IF(MINUTE(C49-B49)&gt;29,HOUR(C49-B49)+1,HOUR(C49-B49))))</f>
        <v>0</v>
      </c>
      <c r="E49" s="241"/>
      <c r="F49" s="78" t="str">
        <f>IFERROR(IF(B49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IF(AND(B49&gt;0,B49&lt;=C48),0,IF(B49=0,"","Yes")),
IF('Timesheet-Regular'!$D$2="Rabobank",
IF('Timesheet-Regular'!D56=0,"",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Yes",
IF(AND(IF(MINUTE('Timesheet-Regular'!E55-'Timesheet-Regular'!D55)&gt;29,HOUR('Timesheet-Regular'!E55-'Timesheet-Regular'!D55)+1,HOUR('Timesheet-Regular'!E55-'Timesheet-Regular'!D55))=12,IF(MINUTE('Timesheet-Regular'!E56-'Timesheet-Regular'!D56)&gt;29,HOUR('Timesheet-Regular'!E56-'Timesheet-Regular'!D56)+1,HOUR('Timesheet-Regular'!E56-'Timesheet-Regular'!D56))&gt;0,'Timesheet-Regular'!F55&gt;11),"Yes",
IF(AND(IF(MINUTE('Timesheet-Regular'!E56-'Timesheet-Regular'!D56)&gt;29,HOUR('Timesheet-Regular'!E56-'Timesheet-Regular'!D56)+1,HOUR('Timesheet-Regular'!E56-'Timesheet-Regular'!D56))=12,'Timesheet-Regular'!F55&gt;11),"",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Yes","No")))))),
IF('Timesheet-Regular'!D56=0,"",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Yes",
IF(AND(IF(MINUTE('Timesheet-Regular'!E55-'Timesheet-Regular'!D55)&gt;29,HOUR('Timesheet-Regular'!E55-'Timesheet-Regular'!D55)+1,HOUR('Timesheet-Regular'!E55-'Timesheet-Regular'!D55))=9,IF(MINUTE('Timesheet-Regular'!E56-'Timesheet-Regular'!D56)&gt;29,HOUR('Timesheet-Regular'!E56-'Timesheet-Regular'!D56)+1,HOUR('Timesheet-Regular'!E56-'Timesheet-Regular'!D56))&gt;0,'Timesheet-Regular'!F55&gt;8),"Yes",
IF(AND(IF(MINUTE('Timesheet-Regular'!E56-'Timesheet-Regular'!D56)&gt;29,HOUR('Timesheet-Regular'!E56-'Timesheet-Regular'!D56)+1,HOUR('Timesheet-Regular'!E56-'Timesheet-Regular'!D56))=9,'Timesheet-Regular'!F55&gt;8),"",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Yes","No"))))))))),"")</f>
        <v/>
      </c>
      <c r="G49" s="78">
        <f t="shared" si="0"/>
        <v>0</v>
      </c>
      <c r="H49" s="241"/>
      <c r="I49" s="203"/>
      <c r="J49" s="204"/>
      <c r="K49" s="204"/>
      <c r="L49" s="204"/>
      <c r="M49" s="204"/>
      <c r="N49" s="204"/>
      <c r="O49" s="204"/>
      <c r="P49" s="205"/>
    </row>
    <row r="50" spans="1:16" ht="15.5" x14ac:dyDescent="0.35">
      <c r="A50" s="133">
        <f>'Timesheet-Regular'!C57</f>
        <v>44766</v>
      </c>
      <c r="B50" s="71">
        <f>IFERROR(
IF('Timesheet-Regular'!J57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IF('Timesheet-Regular'!J57=0,0,'Timesheet-Regular'!D57),
IF('Timesheet-Regular'!$D$2="Sapta Sarana Sejahtera (Exim Bank)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IF('Timesheet-Regular'!$D$2="Bank Permata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57-TIME(('Timesheet-Regular'!F57-8),0,0),
IF(AND(IF(MINUTE('Timesheet-Regular'!E57-'Timesheet-Regular'!D57)&gt;29,HOUR('Timesheet-Regular'!E57-'Timesheet-Regular'!D57)+1,HOUR('Timesheet-Regular'!E57-'Timesheet-Regular'!D57))=9,'Timesheet-Regular'!F57&gt;8),0,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57+TIME(9,1,0)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=9,'Timesheet-Regular'!F57&gt;8),'Timesheet-Regular'!D57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'Timesheet-Regular'!D57+TIME(9,1,0),0))))))))),"")</f>
        <v>0</v>
      </c>
      <c r="C50" s="71">
        <f>IF(B50&gt;0,'Timesheet-Regular'!E57,0)</f>
        <v>0</v>
      </c>
      <c r="D50" s="79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MINUTE(C50-B50)&gt;0,HOUR(C50-B50)+1,HOUR(C50-B50)),IF(MINUTE(C50-B50)&gt;29,HOUR(C50-B50)+1,HOUR(C50-B50)))</f>
        <v>0</v>
      </c>
      <c r="E50" s="240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SUM(Sheet2!D50:D51),0)</f>
        <v>0</v>
      </c>
      <c r="F50" s="78" t="str">
        <f>IFERROR(IF(B50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B50&gt;0,"Yes","")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=12,'Timesheet-Regular'!F57&gt;11),"Yes",
IF(AND(IF(MINUTE('Timesheet-Regular'!E57-'Timesheet-Regular'!D57)&gt;29,HOUR('Timesheet-Regular'!E57-'Timesheet-Regular'!D57)+1,HOUR('Timesheet-Regular'!E57-'Timesheet-Regular'!D57))=12,'Timesheet-Regular'!F57&gt;11),"",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=12,'Timesheet-Regular'!F57&gt;11),"Yes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No"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"Yes","")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=9,'Timesheet-Regular'!F57&gt;8),"Yes",
IF(AND(IF(MINUTE('Timesheet-Regular'!E57-'Timesheet-Regular'!D57)&gt;29,HOUR('Timesheet-Regular'!E57-'Timesheet-Regular'!D57)+1,HOUR('Timesheet-Regular'!E57-'Timesheet-Regular'!D57))=9,'Timesheet-Regular'!F57&gt;8),"",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=9,'Timesheet-Regular'!F57&gt;8),"Yes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No"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"Yes",""))))))))),"")</f>
        <v/>
      </c>
      <c r="G50" s="78">
        <f t="shared" si="0"/>
        <v>0</v>
      </c>
      <c r="H50" s="240">
        <f>SUM(Sheet2!D50:D51)</f>
        <v>0</v>
      </c>
      <c r="I50" s="203"/>
      <c r="J50" s="204"/>
      <c r="K50" s="204"/>
      <c r="L50" s="204"/>
      <c r="M50" s="204"/>
      <c r="N50" s="204"/>
      <c r="O50" s="204"/>
      <c r="P50" s="205"/>
    </row>
    <row r="51" spans="1:16" ht="15.5" x14ac:dyDescent="0.35">
      <c r="A51" s="134"/>
      <c r="B51" s="71">
        <f>IF('Timesheet-Regular'!J58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IF('Timesheet-Regular'!D57=0,0,'Timesheet-Regular'!D58),
IF('Timesheet-Regular'!D58=0,0,
IF('Timesheet-Regular'!$D$2="Sapta Sarana Sejahtera (Exim Bank)",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11),'Timesheet-Regular'!E58-TIME(('Timesheet-Regular'!F57-10)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11),'Timesheet-Regular'!D58,
IF(AND(IF(MINUTE('Timesheet-Regular'!E57-'Timesheet-Regular'!D57)&gt;29,HOUR('Timesheet-Regular'!E57-'Timesheet-Regular'!D57)+1,HOUR('Timesheet-Regular'!E57-'Timesheet-Regular'!D57))=11,'Timesheet-Regular'!F57&gt;11),'Timesheet-Regular'!D58,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IF('Timesheet-Regular'!$D$2="Bank Permata",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58-TIME(('Timesheet-Regular'!F57-9)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58,
IF(AND(IF(MINUTE('Timesheet-Regular'!E57-'Timesheet-Regular'!D57)&gt;29,HOUR('Timesheet-Regular'!E57-'Timesheet-Regular'!D57)+1,HOUR('Timesheet-Regular'!E57-'Timesheet-Regular'!D57))=11,'Timesheet-Regular'!F57&gt;10),'Timesheet-Regular'!D58,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58-TIME(('Timesheet-Regular'!F57-8),0,0)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58,
IF(AND(IF(MINUTE('Timesheet-Regular'!E57-'Timesheet-Regular'!D57)&gt;29,HOUR('Timesheet-Regular'!E57-'Timesheet-Regular'!D57)+1,HOUR('Timesheet-Regular'!E57-'Timesheet-Regular'!D57))=9,'Timesheet-Regular'!F57&gt;8),'Timesheet-Regular'!D58,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'Timesheet-Regular'!D58+TIME(9,1,0),
IF(AND((IF(MINUTE('Timesheet-Regular'!E57-'Timesheet-Regular'!D57)&gt;29,HOUR('Timesheet-Regular'!E57-'Timesheet-Regular'!D57)+1,HOUR('Timesheet-Regular'!E57-'Timesheet-Regular'!D57))&gt;=9),(IF(MINUTE('Timesheet-Regular'!E58-'Timesheet-Regular'!D58)&gt;29,HOUR('Timesheet-Regular'!E58-'Timesheet-Regular'!D58)+1,HOUR('Timesheet-Regular'!E58-'Timesheet-Regular'!D58))&gt;=9)),'Timesheet-Regular'!D58,0))))))))))</f>
        <v>0</v>
      </c>
      <c r="C51" s="71">
        <f>IF(B51&gt;0,'Timesheet-Regular'!E58,0)</f>
        <v>0</v>
      </c>
      <c r="D51" s="79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AND(B51&gt;0,B51&lt;=C50),0,IF(MINUTE(C51-B51)&gt;0,HOUR(C51-B51)+1,HOUR(C51-B51))),IF(AND(B51&gt;0,B51&lt;=C50),0,IF(MINUTE(C51-B51)&gt;29,HOUR(C51-B51)+1,HOUR(C51-B51))))</f>
        <v>0</v>
      </c>
      <c r="E51" s="241"/>
      <c r="F51" s="78" t="str">
        <f>IFERROR(IF(B51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IF(AND(B51&gt;0,B51&lt;=C50),0,IF(B51=0,"","Yes")),
IF('Timesheet-Regular'!$D$2="Rabobank",
IF('Timesheet-Regular'!D58=0,"",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Yes",
IF(AND(IF(MINUTE('Timesheet-Regular'!E57-'Timesheet-Regular'!D57)&gt;29,HOUR('Timesheet-Regular'!E57-'Timesheet-Regular'!D57)+1,HOUR('Timesheet-Regular'!E57-'Timesheet-Regular'!D57))=12,IF(MINUTE('Timesheet-Regular'!E58-'Timesheet-Regular'!D58)&gt;29,HOUR('Timesheet-Regular'!E58-'Timesheet-Regular'!D58)+1,HOUR('Timesheet-Regular'!E58-'Timesheet-Regular'!D58))&gt;0,'Timesheet-Regular'!F57&gt;11),"Yes",
IF(AND(IF(MINUTE('Timesheet-Regular'!E58-'Timesheet-Regular'!D58)&gt;29,HOUR('Timesheet-Regular'!E58-'Timesheet-Regular'!D58)+1,HOUR('Timesheet-Regular'!E58-'Timesheet-Regular'!D58))=12,'Timesheet-Regular'!F57&gt;11),"",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Yes","No")))))),
IF('Timesheet-Regular'!D58=0,"",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Yes",
IF(AND(IF(MINUTE('Timesheet-Regular'!E57-'Timesheet-Regular'!D57)&gt;29,HOUR('Timesheet-Regular'!E57-'Timesheet-Regular'!D57)+1,HOUR('Timesheet-Regular'!E57-'Timesheet-Regular'!D57))=9,IF(MINUTE('Timesheet-Regular'!E58-'Timesheet-Regular'!D58)&gt;29,HOUR('Timesheet-Regular'!E58-'Timesheet-Regular'!D58)+1,HOUR('Timesheet-Regular'!E58-'Timesheet-Regular'!D58))&gt;0,'Timesheet-Regular'!F57&gt;8),"Yes",
IF(AND(IF(MINUTE('Timesheet-Regular'!E58-'Timesheet-Regular'!D58)&gt;29,HOUR('Timesheet-Regular'!E58-'Timesheet-Regular'!D58)+1,HOUR('Timesheet-Regular'!E58-'Timesheet-Regular'!D58))=9,'Timesheet-Regular'!F57&gt;8),"",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Yes","No"))))))))),"")</f>
        <v/>
      </c>
      <c r="G51" s="78">
        <f t="shared" si="0"/>
        <v>0</v>
      </c>
      <c r="H51" s="241"/>
      <c r="I51" s="203"/>
      <c r="J51" s="204"/>
      <c r="K51" s="204"/>
      <c r="L51" s="204"/>
      <c r="M51" s="204"/>
      <c r="N51" s="204"/>
      <c r="O51" s="204"/>
      <c r="P51" s="205"/>
    </row>
    <row r="52" spans="1:16" ht="15.5" x14ac:dyDescent="0.35">
      <c r="A52" s="133">
        <f>'Timesheet-Regular'!C59</f>
        <v>44767</v>
      </c>
      <c r="B52" s="71">
        <f>IFERROR(
IF('Timesheet-Regular'!J59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IF('Timesheet-Regular'!J59=0,0,'Timesheet-Regular'!D59),
IF('Timesheet-Regular'!$D$2="Sapta Sarana Sejahtera (Exim Bank)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IF('Timesheet-Regular'!$D$2="Bank Permata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59-TIME(('Timesheet-Regular'!F59-8),0,0),
IF(AND(IF(MINUTE('Timesheet-Regular'!E59-'Timesheet-Regular'!D59)&gt;29,HOUR('Timesheet-Regular'!E59-'Timesheet-Regular'!D59)+1,HOUR('Timesheet-Regular'!E59-'Timesheet-Regular'!D59))=9,'Timesheet-Regular'!F59&gt;8),0,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59+TIME(9,1,0)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=9,'Timesheet-Regular'!F59&gt;8),'Timesheet-Regular'!D59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'Timesheet-Regular'!D59+TIME(9,1,0),0))))))))),"")</f>
        <v>0</v>
      </c>
      <c r="C52" s="71">
        <f>IF(B52&gt;0,'Timesheet-Regular'!E59,0)</f>
        <v>0</v>
      </c>
      <c r="D52" s="79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MINUTE(C52-B52)&gt;0,HOUR(C52-B52)+1,HOUR(C52-B52)),IF(MINUTE(C52-B52)&gt;29,HOUR(C52-B52)+1,HOUR(C52-B52)))</f>
        <v>0</v>
      </c>
      <c r="E52" s="240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SUM(Sheet2!D52:D53),0)</f>
        <v>0</v>
      </c>
      <c r="F52" s="78" t="str">
        <f>IFERROR(IF(B52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B52&gt;0,"Yes","")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=12,'Timesheet-Regular'!F59&gt;11),"Yes",
IF(AND(IF(MINUTE('Timesheet-Regular'!E59-'Timesheet-Regular'!D59)&gt;29,HOUR('Timesheet-Regular'!E59-'Timesheet-Regular'!D59)+1,HOUR('Timesheet-Regular'!E59-'Timesheet-Regular'!D59))=12,'Timesheet-Regular'!F59&gt;11),"",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=12,'Timesheet-Regular'!F59&gt;11),"Yes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No"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"Yes","")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=9,'Timesheet-Regular'!F59&gt;8),"Yes",
IF(AND(IF(MINUTE('Timesheet-Regular'!E59-'Timesheet-Regular'!D59)&gt;29,HOUR('Timesheet-Regular'!E59-'Timesheet-Regular'!D59)+1,HOUR('Timesheet-Regular'!E59-'Timesheet-Regular'!D59))=9,'Timesheet-Regular'!F59&gt;8),"",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=9,'Timesheet-Regular'!F59&gt;8),"Yes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No"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"Yes",""))))))))),"")</f>
        <v/>
      </c>
      <c r="G52" s="78">
        <f t="shared" si="0"/>
        <v>0</v>
      </c>
      <c r="H52" s="240">
        <f>SUM(Sheet2!D52:D53)</f>
        <v>0</v>
      </c>
      <c r="I52" s="203"/>
      <c r="J52" s="204"/>
      <c r="K52" s="204"/>
      <c r="L52" s="204"/>
      <c r="M52" s="204"/>
      <c r="N52" s="204"/>
      <c r="O52" s="204"/>
      <c r="P52" s="205"/>
    </row>
    <row r="53" spans="1:16" ht="15.5" x14ac:dyDescent="0.35">
      <c r="A53" s="134"/>
      <c r="B53" s="71">
        <f>IF('Timesheet-Regular'!J60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IF('Timesheet-Regular'!D59=0,0,'Timesheet-Regular'!D60),
IF('Timesheet-Regular'!D60=0,0,
IF('Timesheet-Regular'!$D$2="Sapta Sarana Sejahtera (Exim Bank)",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11),'Timesheet-Regular'!E60-TIME(('Timesheet-Regular'!F59-10)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11),'Timesheet-Regular'!D60,
IF(AND(IF(MINUTE('Timesheet-Regular'!E59-'Timesheet-Regular'!D59)&gt;29,HOUR('Timesheet-Regular'!E59-'Timesheet-Regular'!D59)+1,HOUR('Timesheet-Regular'!E59-'Timesheet-Regular'!D59))=11,'Timesheet-Regular'!F59&gt;11),'Timesheet-Regular'!D60,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IF('Timesheet-Regular'!$D$2="Bank Permata",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60-TIME(('Timesheet-Regular'!F59-9)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60,
IF(AND(IF(MINUTE('Timesheet-Regular'!E59-'Timesheet-Regular'!D59)&gt;29,HOUR('Timesheet-Regular'!E59-'Timesheet-Regular'!D59)+1,HOUR('Timesheet-Regular'!E59-'Timesheet-Regular'!D59))=11,'Timesheet-Regular'!F59&gt;10),'Timesheet-Regular'!D60,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60-TIME(('Timesheet-Regular'!F59-8),0,0)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60,
IF(AND(IF(MINUTE('Timesheet-Regular'!E59-'Timesheet-Regular'!D59)&gt;29,HOUR('Timesheet-Regular'!E59-'Timesheet-Regular'!D59)+1,HOUR('Timesheet-Regular'!E59-'Timesheet-Regular'!D59))=9,'Timesheet-Regular'!F59&gt;8),'Timesheet-Regular'!D60,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'Timesheet-Regular'!D60+TIME(9,1,0),
IF(AND((IF(MINUTE('Timesheet-Regular'!E59-'Timesheet-Regular'!D59)&gt;29,HOUR('Timesheet-Regular'!E59-'Timesheet-Regular'!D59)+1,HOUR('Timesheet-Regular'!E59-'Timesheet-Regular'!D59))&gt;=9),(IF(MINUTE('Timesheet-Regular'!E60-'Timesheet-Regular'!D60)&gt;29,HOUR('Timesheet-Regular'!E60-'Timesheet-Regular'!D60)+1,HOUR('Timesheet-Regular'!E60-'Timesheet-Regular'!D60))&gt;=9)),'Timesheet-Regular'!D60,0))))))))))</f>
        <v>0</v>
      </c>
      <c r="C53" s="71">
        <f>IF(B53&gt;0,'Timesheet-Regular'!E60,0)</f>
        <v>0</v>
      </c>
      <c r="D53" s="79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AND(B53&gt;0,B53&lt;=C52),0,IF(MINUTE(C53-B53)&gt;0,HOUR(C53-B53)+1,HOUR(C53-B53))),IF(AND(B53&gt;0,B53&lt;=C52),0,IF(MINUTE(C53-B53)&gt;29,HOUR(C53-B53)+1,HOUR(C53-B53))))</f>
        <v>0</v>
      </c>
      <c r="E53" s="241"/>
      <c r="F53" s="78" t="str">
        <f>IFERROR(IF(B53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IF(AND(B53&gt;0,B53&lt;=C52),0,IF(B53=0,"","Yes")),
IF('Timesheet-Regular'!$D$2="Rabobank",
IF('Timesheet-Regular'!D60=0,"",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Yes",
IF(AND(IF(MINUTE('Timesheet-Regular'!E59-'Timesheet-Regular'!D59)&gt;29,HOUR('Timesheet-Regular'!E59-'Timesheet-Regular'!D59)+1,HOUR('Timesheet-Regular'!E59-'Timesheet-Regular'!D59))=12,IF(MINUTE('Timesheet-Regular'!E60-'Timesheet-Regular'!D60)&gt;29,HOUR('Timesheet-Regular'!E60-'Timesheet-Regular'!D60)+1,HOUR('Timesheet-Regular'!E60-'Timesheet-Regular'!D60))&gt;0,'Timesheet-Regular'!F59&gt;11),"Yes",
IF(AND(IF(MINUTE('Timesheet-Regular'!E60-'Timesheet-Regular'!D60)&gt;29,HOUR('Timesheet-Regular'!E60-'Timesheet-Regular'!D60)+1,HOUR('Timesheet-Regular'!E60-'Timesheet-Regular'!D60))=12,'Timesheet-Regular'!F59&gt;11),"",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Yes","No")))))),
IF('Timesheet-Regular'!D60=0,"",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Yes",
IF(AND(IF(MINUTE('Timesheet-Regular'!E59-'Timesheet-Regular'!D59)&gt;29,HOUR('Timesheet-Regular'!E59-'Timesheet-Regular'!D59)+1,HOUR('Timesheet-Regular'!E59-'Timesheet-Regular'!D59))=9,IF(MINUTE('Timesheet-Regular'!E60-'Timesheet-Regular'!D60)&gt;29,HOUR('Timesheet-Regular'!E60-'Timesheet-Regular'!D60)+1,HOUR('Timesheet-Regular'!E60-'Timesheet-Regular'!D60))&gt;0,'Timesheet-Regular'!F59&gt;8),"Yes",
IF(AND(IF(MINUTE('Timesheet-Regular'!E60-'Timesheet-Regular'!D60)&gt;29,HOUR('Timesheet-Regular'!E60-'Timesheet-Regular'!D60)+1,HOUR('Timesheet-Regular'!E60-'Timesheet-Regular'!D60))=9,'Timesheet-Regular'!F59&gt;8),"",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Yes","No"))))))))),"")</f>
        <v/>
      </c>
      <c r="G53" s="78">
        <f t="shared" si="0"/>
        <v>0</v>
      </c>
      <c r="H53" s="241"/>
      <c r="I53" s="203"/>
      <c r="J53" s="204"/>
      <c r="K53" s="204"/>
      <c r="L53" s="204"/>
      <c r="M53" s="204"/>
      <c r="N53" s="204"/>
      <c r="O53" s="204"/>
      <c r="P53" s="205"/>
    </row>
    <row r="54" spans="1:16" ht="15.5" x14ac:dyDescent="0.35">
      <c r="A54" s="133">
        <f>'Timesheet-Regular'!C61</f>
        <v>44768</v>
      </c>
      <c r="B54" s="71">
        <f>IFERROR(
IF('Timesheet-Regular'!J61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IF('Timesheet-Regular'!J61=0,0,'Timesheet-Regular'!D61),
IF('Timesheet-Regular'!$D$2="Sapta Sarana Sejahtera (Exim Bank)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IF('Timesheet-Regular'!$D$2="Bank Permata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61-TIME(('Timesheet-Regular'!F61-8),0,0),
IF(AND(IF(MINUTE('Timesheet-Regular'!E61-'Timesheet-Regular'!D61)&gt;29,HOUR('Timesheet-Regular'!E61-'Timesheet-Regular'!D61)+1,HOUR('Timesheet-Regular'!E61-'Timesheet-Regular'!D61))=9,'Timesheet-Regular'!F61&gt;8),0,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61+TIME(9,1,0)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=9,'Timesheet-Regular'!F61&gt;8),'Timesheet-Regular'!D61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'Timesheet-Regular'!D61+TIME(9,1,0),0))))))))),"")</f>
        <v>0</v>
      </c>
      <c r="C54" s="71">
        <f>IF(B54&gt;0,'Timesheet-Regular'!E61,0)</f>
        <v>0</v>
      </c>
      <c r="D54" s="79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MINUTE(C54-B54)&gt;0,HOUR(C54-B54)+1,HOUR(C54-B54)),IF(MINUTE(C54-B54)&gt;29,HOUR(C54-B54)+1,HOUR(C54-B54)))</f>
        <v>0</v>
      </c>
      <c r="E54" s="240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SUM(Sheet2!D54:D55),0)</f>
        <v>0</v>
      </c>
      <c r="F54" s="78" t="str">
        <f>IFERROR(IF(B54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B54&gt;0,"Yes","")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=12,'Timesheet-Regular'!F61&gt;11),"Yes",
IF(AND(IF(MINUTE('Timesheet-Regular'!E61-'Timesheet-Regular'!D61)&gt;29,HOUR('Timesheet-Regular'!E61-'Timesheet-Regular'!D61)+1,HOUR('Timesheet-Regular'!E61-'Timesheet-Regular'!D61))=12,'Timesheet-Regular'!F61&gt;11),"",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=12,'Timesheet-Regular'!F61&gt;11),"Yes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No"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"Yes","")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=9,'Timesheet-Regular'!F61&gt;8),"Yes",
IF(AND(IF(MINUTE('Timesheet-Regular'!E61-'Timesheet-Regular'!D61)&gt;29,HOUR('Timesheet-Regular'!E61-'Timesheet-Regular'!D61)+1,HOUR('Timesheet-Regular'!E61-'Timesheet-Regular'!D61))=9,'Timesheet-Regular'!F61&gt;8),"",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=9,'Timesheet-Regular'!F61&gt;8),"Yes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No"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"Yes",""))))))))),"")</f>
        <v/>
      </c>
      <c r="G54" s="78">
        <f t="shared" si="0"/>
        <v>0</v>
      </c>
      <c r="H54" s="240">
        <f>SUM(Sheet2!D54:D55)</f>
        <v>0</v>
      </c>
      <c r="I54" s="203"/>
      <c r="J54" s="204"/>
      <c r="K54" s="204"/>
      <c r="L54" s="204"/>
      <c r="M54" s="204"/>
      <c r="N54" s="204"/>
      <c r="O54" s="204"/>
      <c r="P54" s="205"/>
    </row>
    <row r="55" spans="1:16" ht="15.5" x14ac:dyDescent="0.35">
      <c r="A55" s="134"/>
      <c r="B55" s="71">
        <f>IF('Timesheet-Regular'!J62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IF('Timesheet-Regular'!D61=0,0,'Timesheet-Regular'!D62),
IF('Timesheet-Regular'!D62=0,0,
IF('Timesheet-Regular'!$D$2="Sapta Sarana Sejahtera (Exim Bank)",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11),'Timesheet-Regular'!E62-TIME(('Timesheet-Regular'!F61-10)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11),'Timesheet-Regular'!D62,
IF(AND(IF(MINUTE('Timesheet-Regular'!E61-'Timesheet-Regular'!D61)&gt;29,HOUR('Timesheet-Regular'!E61-'Timesheet-Regular'!D61)+1,HOUR('Timesheet-Regular'!E61-'Timesheet-Regular'!D61))=11,'Timesheet-Regular'!F61&gt;11),'Timesheet-Regular'!D62,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IF('Timesheet-Regular'!$D$2="Bank Permata",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62-TIME(('Timesheet-Regular'!F61-9)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62,
IF(AND(IF(MINUTE('Timesheet-Regular'!E61-'Timesheet-Regular'!D61)&gt;29,HOUR('Timesheet-Regular'!E61-'Timesheet-Regular'!D61)+1,HOUR('Timesheet-Regular'!E61-'Timesheet-Regular'!D61))=11,'Timesheet-Regular'!F61&gt;10),'Timesheet-Regular'!D62,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62-TIME(('Timesheet-Regular'!F61-8),0,0)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62,
IF(AND(IF(MINUTE('Timesheet-Regular'!E61-'Timesheet-Regular'!D61)&gt;29,HOUR('Timesheet-Regular'!E61-'Timesheet-Regular'!D61)+1,HOUR('Timesheet-Regular'!E61-'Timesheet-Regular'!D61))=9,'Timesheet-Regular'!F61&gt;8),'Timesheet-Regular'!D62,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'Timesheet-Regular'!D62+TIME(9,1,0),
IF(AND((IF(MINUTE('Timesheet-Regular'!E61-'Timesheet-Regular'!D61)&gt;29,HOUR('Timesheet-Regular'!E61-'Timesheet-Regular'!D61)+1,HOUR('Timesheet-Regular'!E61-'Timesheet-Regular'!D61))&gt;=9),(IF(MINUTE('Timesheet-Regular'!E62-'Timesheet-Regular'!D62)&gt;29,HOUR('Timesheet-Regular'!E62-'Timesheet-Regular'!D62)+1,HOUR('Timesheet-Regular'!E62-'Timesheet-Regular'!D62))&gt;=9)),'Timesheet-Regular'!D62,0))))))))))</f>
        <v>0</v>
      </c>
      <c r="C55" s="71">
        <f>IF(B55&gt;0,'Timesheet-Regular'!E62,0)</f>
        <v>0</v>
      </c>
      <c r="D55" s="79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AND(B55&gt;0,B55&lt;=C54),0,IF(MINUTE(C55-B55)&gt;0,HOUR(C55-B55)+1,HOUR(C55-B55))),IF(AND(B55&gt;0,B55&lt;=C54),0,IF(MINUTE(C55-B55)&gt;29,HOUR(C55-B55)+1,HOUR(C55-B55))))</f>
        <v>0</v>
      </c>
      <c r="E55" s="241"/>
      <c r="F55" s="78" t="str">
        <f>IFERROR(IF(B55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IF(AND(B55&gt;0,B55&lt;=C54),0,IF(B55=0,"","Yes")),
IF('Timesheet-Regular'!$D$2="Rabobank",
IF('Timesheet-Regular'!D62=0,"",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Yes",
IF(AND(IF(MINUTE('Timesheet-Regular'!E61-'Timesheet-Regular'!D61)&gt;29,HOUR('Timesheet-Regular'!E61-'Timesheet-Regular'!D61)+1,HOUR('Timesheet-Regular'!E61-'Timesheet-Regular'!D61))=12,IF(MINUTE('Timesheet-Regular'!E62-'Timesheet-Regular'!D62)&gt;29,HOUR('Timesheet-Regular'!E62-'Timesheet-Regular'!D62)+1,HOUR('Timesheet-Regular'!E62-'Timesheet-Regular'!D62))&gt;0,'Timesheet-Regular'!F61&gt;11),"Yes",
IF(AND(IF(MINUTE('Timesheet-Regular'!E62-'Timesheet-Regular'!D62)&gt;29,HOUR('Timesheet-Regular'!E62-'Timesheet-Regular'!D62)+1,HOUR('Timesheet-Regular'!E62-'Timesheet-Regular'!D62))=12,'Timesheet-Regular'!F61&gt;11),"",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Yes","No")))))),
IF('Timesheet-Regular'!D62=0,"",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Yes",
IF(AND(IF(MINUTE('Timesheet-Regular'!E61-'Timesheet-Regular'!D61)&gt;29,HOUR('Timesheet-Regular'!E61-'Timesheet-Regular'!D61)+1,HOUR('Timesheet-Regular'!E61-'Timesheet-Regular'!D61))=9,IF(MINUTE('Timesheet-Regular'!E62-'Timesheet-Regular'!D62)&gt;29,HOUR('Timesheet-Regular'!E62-'Timesheet-Regular'!D62)+1,HOUR('Timesheet-Regular'!E62-'Timesheet-Regular'!D62))&gt;0,'Timesheet-Regular'!F61&gt;8),"Yes",
IF(AND(IF(MINUTE('Timesheet-Regular'!E62-'Timesheet-Regular'!D62)&gt;29,HOUR('Timesheet-Regular'!E62-'Timesheet-Regular'!D62)+1,HOUR('Timesheet-Regular'!E62-'Timesheet-Regular'!D62))=9,'Timesheet-Regular'!F61&gt;8),"",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Yes","No"))))))))),"")</f>
        <v/>
      </c>
      <c r="G55" s="78">
        <f t="shared" si="0"/>
        <v>0</v>
      </c>
      <c r="H55" s="241"/>
      <c r="I55" s="203"/>
      <c r="J55" s="204"/>
      <c r="K55" s="204"/>
      <c r="L55" s="204"/>
      <c r="M55" s="204"/>
      <c r="N55" s="204"/>
      <c r="O55" s="204"/>
      <c r="P55" s="205"/>
    </row>
    <row r="56" spans="1:16" ht="15.5" x14ac:dyDescent="0.35">
      <c r="A56" s="133">
        <f>'Timesheet-Regular'!C63</f>
        <v>44769</v>
      </c>
      <c r="B56" s="71">
        <f>IFERROR(
IF('Timesheet-Regular'!J63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IF('Timesheet-Regular'!J63=0,0,'Timesheet-Regular'!D63),
IF('Timesheet-Regular'!$D$2="Sapta Sarana Sejahtera (Exim Bank)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IF('Timesheet-Regular'!$D$2="Bank Permata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63-TIME(('Timesheet-Regular'!F63-8),0,0),
IF(AND(IF(MINUTE('Timesheet-Regular'!E63-'Timesheet-Regular'!D63)&gt;29,HOUR('Timesheet-Regular'!E63-'Timesheet-Regular'!D63)+1,HOUR('Timesheet-Regular'!E63-'Timesheet-Regular'!D63))=9,'Timesheet-Regular'!F63&gt;8),0,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63+TIME(9,1,0)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=9,'Timesheet-Regular'!F63&gt;8),'Timesheet-Regular'!D63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'Timesheet-Regular'!D63+TIME(9,1,0),0))))))))),"")</f>
        <v>0</v>
      </c>
      <c r="C56" s="71">
        <f>IF(B56&gt;0,'Timesheet-Regular'!E63,0)</f>
        <v>0</v>
      </c>
      <c r="D56" s="79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MINUTE(C56-B56)&gt;0,HOUR(C56-B56)+1,HOUR(C56-B56)),IF(MINUTE(C56-B56)&gt;29,HOUR(C56-B56)+1,HOUR(C56-B56)))</f>
        <v>0</v>
      </c>
      <c r="E56" s="240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SUM(Sheet2!D56:D57),0)</f>
        <v>0</v>
      </c>
      <c r="F56" s="78" t="str">
        <f>IFERROR(IF(B56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B56&gt;0,"Yes","")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=12,'Timesheet-Regular'!F63&gt;11),"Yes",
IF(AND(IF(MINUTE('Timesheet-Regular'!E63-'Timesheet-Regular'!D63)&gt;29,HOUR('Timesheet-Regular'!E63-'Timesheet-Regular'!D63)+1,HOUR('Timesheet-Regular'!E63-'Timesheet-Regular'!D63))=12,'Timesheet-Regular'!F63&gt;11),"",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=12,'Timesheet-Regular'!F63&gt;11),"Yes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No"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"Yes","")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=9,'Timesheet-Regular'!F63&gt;8),"Yes",
IF(AND(IF(MINUTE('Timesheet-Regular'!E63-'Timesheet-Regular'!D63)&gt;29,HOUR('Timesheet-Regular'!E63-'Timesheet-Regular'!D63)+1,HOUR('Timesheet-Regular'!E63-'Timesheet-Regular'!D63))=9,'Timesheet-Regular'!F63&gt;8),"",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=9,'Timesheet-Regular'!F63&gt;8),"Yes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No"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"Yes",""))))))))),"")</f>
        <v/>
      </c>
      <c r="G56" s="78">
        <f t="shared" si="0"/>
        <v>0</v>
      </c>
      <c r="H56" s="240">
        <f>SUM(Sheet2!D56:D57)</f>
        <v>0</v>
      </c>
      <c r="I56" s="203"/>
      <c r="J56" s="204"/>
      <c r="K56" s="204"/>
      <c r="L56" s="204"/>
      <c r="M56" s="204"/>
      <c r="N56" s="204"/>
      <c r="O56" s="204"/>
      <c r="P56" s="205"/>
    </row>
    <row r="57" spans="1:16" ht="15.5" x14ac:dyDescent="0.35">
      <c r="A57" s="134"/>
      <c r="B57" s="71">
        <f>IF('Timesheet-Regular'!J64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IF('Timesheet-Regular'!D63=0,0,'Timesheet-Regular'!D64),
IF('Timesheet-Regular'!D64=0,0,
IF('Timesheet-Regular'!$D$2="Sapta Sarana Sejahtera (Exim Bank)",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11),'Timesheet-Regular'!E64-TIME(('Timesheet-Regular'!F63-10)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11),'Timesheet-Regular'!D64,
IF(AND(IF(MINUTE('Timesheet-Regular'!E63-'Timesheet-Regular'!D63)&gt;29,HOUR('Timesheet-Regular'!E63-'Timesheet-Regular'!D63)+1,HOUR('Timesheet-Regular'!E63-'Timesheet-Regular'!D63))=11,'Timesheet-Regular'!F63&gt;11),'Timesheet-Regular'!D64,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IF('Timesheet-Regular'!$D$2="Bank Permata",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64-TIME(('Timesheet-Regular'!F63-9)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64,
IF(AND(IF(MINUTE('Timesheet-Regular'!E63-'Timesheet-Regular'!D63)&gt;29,HOUR('Timesheet-Regular'!E63-'Timesheet-Regular'!D63)+1,HOUR('Timesheet-Regular'!E63-'Timesheet-Regular'!D63))=11,'Timesheet-Regular'!F63&gt;10),'Timesheet-Regular'!D64,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64-TIME(('Timesheet-Regular'!F63-8),0,0)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64,
IF(AND(IF(MINUTE('Timesheet-Regular'!E63-'Timesheet-Regular'!D63)&gt;29,HOUR('Timesheet-Regular'!E63-'Timesheet-Regular'!D63)+1,HOUR('Timesheet-Regular'!E63-'Timesheet-Regular'!D63))=9,'Timesheet-Regular'!F63&gt;8),'Timesheet-Regular'!D64,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'Timesheet-Regular'!D64+TIME(9,1,0),
IF(AND((IF(MINUTE('Timesheet-Regular'!E63-'Timesheet-Regular'!D63)&gt;29,HOUR('Timesheet-Regular'!E63-'Timesheet-Regular'!D63)+1,HOUR('Timesheet-Regular'!E63-'Timesheet-Regular'!D63))&gt;=9),(IF(MINUTE('Timesheet-Regular'!E64-'Timesheet-Regular'!D64)&gt;29,HOUR('Timesheet-Regular'!E64-'Timesheet-Regular'!D64)+1,HOUR('Timesheet-Regular'!E64-'Timesheet-Regular'!D64))&gt;=9)),'Timesheet-Regular'!D64,0))))))))))</f>
        <v>0</v>
      </c>
      <c r="C57" s="71">
        <f>IF(B57&gt;0,'Timesheet-Regular'!E64,0)</f>
        <v>0</v>
      </c>
      <c r="D57" s="79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AND(B57&gt;0,B57&lt;=C56),0,IF(MINUTE(C57-B57)&gt;0,HOUR(C57-B57)+1,HOUR(C57-B57))),IF(AND(B57&gt;0,B57&lt;=C56),0,IF(MINUTE(C57-B57)&gt;29,HOUR(C57-B57)+1,HOUR(C57-B57))))</f>
        <v>0</v>
      </c>
      <c r="E57" s="241"/>
      <c r="F57" s="78" t="str">
        <f>IFERROR(IF(B57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IF(AND(B57&gt;0,B57&lt;=C56),0,IF(B57=0,"","Yes")),
IF('Timesheet-Regular'!$D$2="Rabobank",
IF('Timesheet-Regular'!D64=0,"",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Yes",
IF(AND(IF(MINUTE('Timesheet-Regular'!E63-'Timesheet-Regular'!D63)&gt;29,HOUR('Timesheet-Regular'!E63-'Timesheet-Regular'!D63)+1,HOUR('Timesheet-Regular'!E63-'Timesheet-Regular'!D63))=12,IF(MINUTE('Timesheet-Regular'!E64-'Timesheet-Regular'!D64)&gt;29,HOUR('Timesheet-Regular'!E64-'Timesheet-Regular'!D64)+1,HOUR('Timesheet-Regular'!E64-'Timesheet-Regular'!D64))&gt;0,'Timesheet-Regular'!F63&gt;11),"Yes",
IF(AND(IF(MINUTE('Timesheet-Regular'!E64-'Timesheet-Regular'!D64)&gt;29,HOUR('Timesheet-Regular'!E64-'Timesheet-Regular'!D64)+1,HOUR('Timesheet-Regular'!E64-'Timesheet-Regular'!D64))=12,'Timesheet-Regular'!F63&gt;11),"",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Yes","No")))))),
IF('Timesheet-Regular'!D64=0,"",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Yes",
IF(AND(IF(MINUTE('Timesheet-Regular'!E63-'Timesheet-Regular'!D63)&gt;29,HOUR('Timesheet-Regular'!E63-'Timesheet-Regular'!D63)+1,HOUR('Timesheet-Regular'!E63-'Timesheet-Regular'!D63))=9,IF(MINUTE('Timesheet-Regular'!E64-'Timesheet-Regular'!D64)&gt;29,HOUR('Timesheet-Regular'!E64-'Timesheet-Regular'!D64)+1,HOUR('Timesheet-Regular'!E64-'Timesheet-Regular'!D64))&gt;0,'Timesheet-Regular'!F63&gt;8),"Yes",
IF(AND(IF(MINUTE('Timesheet-Regular'!E64-'Timesheet-Regular'!D64)&gt;29,HOUR('Timesheet-Regular'!E64-'Timesheet-Regular'!D64)+1,HOUR('Timesheet-Regular'!E64-'Timesheet-Regular'!D64))=9,'Timesheet-Regular'!F63&gt;8),"",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Yes","No"))))))))),"")</f>
        <v/>
      </c>
      <c r="G57" s="78">
        <f t="shared" si="0"/>
        <v>0</v>
      </c>
      <c r="H57" s="241"/>
      <c r="I57" s="203"/>
      <c r="J57" s="204"/>
      <c r="K57" s="204"/>
      <c r="L57" s="204"/>
      <c r="M57" s="204"/>
      <c r="N57" s="204"/>
      <c r="O57" s="204"/>
      <c r="P57" s="205"/>
    </row>
    <row r="58" spans="1:16" ht="15.5" x14ac:dyDescent="0.35">
      <c r="A58" s="133">
        <f>'Timesheet-Regular'!C65</f>
        <v>44770</v>
      </c>
      <c r="B58" s="71">
        <f>IFERROR(
IF('Timesheet-Regular'!J65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IF('Timesheet-Regular'!J65=0,0,'Timesheet-Regular'!D65),
IF('Timesheet-Regular'!$D$2="Sapta Sarana Sejahtera (Exim Bank)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IF('Timesheet-Regular'!$D$2="Bank Permata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65-TIME(('Timesheet-Regular'!F65-8),0,0),
IF(AND(IF(MINUTE('Timesheet-Regular'!E65-'Timesheet-Regular'!D65)&gt;29,HOUR('Timesheet-Regular'!E65-'Timesheet-Regular'!D65)+1,HOUR('Timesheet-Regular'!E65-'Timesheet-Regular'!D65))=9,'Timesheet-Regular'!F65&gt;8),0,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65+TIME(9,1,0)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=9,'Timesheet-Regular'!F65&gt;8),'Timesheet-Regular'!D65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'Timesheet-Regular'!D65+TIME(9,1,0),0))))))))),"")</f>
        <v>0</v>
      </c>
      <c r="C58" s="71">
        <f>IF(B58&gt;0,'Timesheet-Regular'!E65,0)</f>
        <v>0</v>
      </c>
      <c r="D58" s="79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MINUTE(C58-B58)&gt;0,HOUR(C58-B58)+1,HOUR(C58-B58)),IF(MINUTE(C58-B58)&gt;29,HOUR(C58-B58)+1,HOUR(C58-B58)))</f>
        <v>0</v>
      </c>
      <c r="E58" s="240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SUM(Sheet2!D58:D59),0)</f>
        <v>0</v>
      </c>
      <c r="F58" s="78" t="str">
        <f>IFERROR(IF(B58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B58&gt;0,"Yes","")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=12,'Timesheet-Regular'!F65&gt;11),"Yes",
IF(AND(IF(MINUTE('Timesheet-Regular'!E65-'Timesheet-Regular'!D65)&gt;29,HOUR('Timesheet-Regular'!E65-'Timesheet-Regular'!D65)+1,HOUR('Timesheet-Regular'!E65-'Timesheet-Regular'!D65))=12,'Timesheet-Regular'!F65&gt;11),"",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=12,'Timesheet-Regular'!F65&gt;11),"Yes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No"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"Yes","")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=9,'Timesheet-Regular'!F65&gt;8),"Yes",
IF(AND(IF(MINUTE('Timesheet-Regular'!E65-'Timesheet-Regular'!D65)&gt;29,HOUR('Timesheet-Regular'!E65-'Timesheet-Regular'!D65)+1,HOUR('Timesheet-Regular'!E65-'Timesheet-Regular'!D65))=9,'Timesheet-Regular'!F65&gt;8),"",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=9,'Timesheet-Regular'!F65&gt;8),"Yes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No"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"Yes",""))))))))),"")</f>
        <v/>
      </c>
      <c r="G58" s="78">
        <f t="shared" si="0"/>
        <v>0</v>
      </c>
      <c r="H58" s="240">
        <f>SUM(Sheet2!D58:D59)</f>
        <v>0</v>
      </c>
      <c r="I58" s="203"/>
      <c r="J58" s="204"/>
      <c r="K58" s="204"/>
      <c r="L58" s="204"/>
      <c r="M58" s="204"/>
      <c r="N58" s="204"/>
      <c r="O58" s="204"/>
      <c r="P58" s="205"/>
    </row>
    <row r="59" spans="1:16" ht="15.5" x14ac:dyDescent="0.35">
      <c r="A59" s="134"/>
      <c r="B59" s="71">
        <f>IF('Timesheet-Regular'!J66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IF('Timesheet-Regular'!D65=0,0,'Timesheet-Regular'!D66),
IF('Timesheet-Regular'!D66=0,0,
IF('Timesheet-Regular'!$D$2="Sapta Sarana Sejahtera (Exim Bank)",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11),'Timesheet-Regular'!E66-TIME(('Timesheet-Regular'!F65-10)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11),'Timesheet-Regular'!D66,
IF(AND(IF(MINUTE('Timesheet-Regular'!E65-'Timesheet-Regular'!D65)&gt;29,HOUR('Timesheet-Regular'!E65-'Timesheet-Regular'!D65)+1,HOUR('Timesheet-Regular'!E65-'Timesheet-Regular'!D65))=11,'Timesheet-Regular'!F65&gt;11),'Timesheet-Regular'!D66,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IF('Timesheet-Regular'!$D$2="Bank Permata",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66-TIME(('Timesheet-Regular'!F65-9)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66,
IF(AND(IF(MINUTE('Timesheet-Regular'!E65-'Timesheet-Regular'!D65)&gt;29,HOUR('Timesheet-Regular'!E65-'Timesheet-Regular'!D65)+1,HOUR('Timesheet-Regular'!E65-'Timesheet-Regular'!D65))=11,'Timesheet-Regular'!F65&gt;10),'Timesheet-Regular'!D66,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66-TIME(('Timesheet-Regular'!F65-8),0,0)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66,
IF(AND(IF(MINUTE('Timesheet-Regular'!E65-'Timesheet-Regular'!D65)&gt;29,HOUR('Timesheet-Regular'!E65-'Timesheet-Regular'!D65)+1,HOUR('Timesheet-Regular'!E65-'Timesheet-Regular'!D65))=9,'Timesheet-Regular'!F65&gt;8),'Timesheet-Regular'!D66,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'Timesheet-Regular'!D66+TIME(9,1,0),
IF(AND((IF(MINUTE('Timesheet-Regular'!E65-'Timesheet-Regular'!D65)&gt;29,HOUR('Timesheet-Regular'!E65-'Timesheet-Regular'!D65)+1,HOUR('Timesheet-Regular'!E65-'Timesheet-Regular'!D65))&gt;=9),(IF(MINUTE('Timesheet-Regular'!E66-'Timesheet-Regular'!D66)&gt;29,HOUR('Timesheet-Regular'!E66-'Timesheet-Regular'!D66)+1,HOUR('Timesheet-Regular'!E66-'Timesheet-Regular'!D66))&gt;=9)),'Timesheet-Regular'!D66,0))))))))))</f>
        <v>0</v>
      </c>
      <c r="C59" s="71">
        <f>IF(B59&gt;0,'Timesheet-Regular'!E66,0)</f>
        <v>0</v>
      </c>
      <c r="D59" s="79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AND(B59&gt;0,B59&lt;=C58),0,IF(MINUTE(C59-B59)&gt;0,HOUR(C59-B59)+1,HOUR(C59-B59))),IF(AND(B59&gt;0,B59&lt;=C58),0,IF(MINUTE(C59-B59)&gt;29,HOUR(C59-B59)+1,HOUR(C59-B59))))</f>
        <v>0</v>
      </c>
      <c r="E59" s="241"/>
      <c r="F59" s="78" t="str">
        <f>IFERROR(IF(B59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IF(AND(B59&gt;0,B59&lt;=C58),0,IF(B59=0,"","Yes")),
IF('Timesheet-Regular'!$D$2="Rabobank",
IF('Timesheet-Regular'!D66=0,"",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Yes",
IF(AND(IF(MINUTE('Timesheet-Regular'!E65-'Timesheet-Regular'!D65)&gt;29,HOUR('Timesheet-Regular'!E65-'Timesheet-Regular'!D65)+1,HOUR('Timesheet-Regular'!E65-'Timesheet-Regular'!D65))=12,IF(MINUTE('Timesheet-Regular'!E66-'Timesheet-Regular'!D66)&gt;29,HOUR('Timesheet-Regular'!E66-'Timesheet-Regular'!D66)+1,HOUR('Timesheet-Regular'!E66-'Timesheet-Regular'!D66))&gt;0,'Timesheet-Regular'!F65&gt;11),"Yes",
IF(AND(IF(MINUTE('Timesheet-Regular'!E66-'Timesheet-Regular'!D66)&gt;29,HOUR('Timesheet-Regular'!E66-'Timesheet-Regular'!D66)+1,HOUR('Timesheet-Regular'!E66-'Timesheet-Regular'!D66))=12,'Timesheet-Regular'!F65&gt;11),"",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Yes","No")))))),
IF('Timesheet-Regular'!D66=0,"",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Yes",
IF(AND(IF(MINUTE('Timesheet-Regular'!E65-'Timesheet-Regular'!D65)&gt;29,HOUR('Timesheet-Regular'!E65-'Timesheet-Regular'!D65)+1,HOUR('Timesheet-Regular'!E65-'Timesheet-Regular'!D65))=9,IF(MINUTE('Timesheet-Regular'!E66-'Timesheet-Regular'!D66)&gt;29,HOUR('Timesheet-Regular'!E66-'Timesheet-Regular'!D66)+1,HOUR('Timesheet-Regular'!E66-'Timesheet-Regular'!D66))&gt;0,'Timesheet-Regular'!F65&gt;8),"Yes",
IF(AND(IF(MINUTE('Timesheet-Regular'!E66-'Timesheet-Regular'!D66)&gt;29,HOUR('Timesheet-Regular'!E66-'Timesheet-Regular'!D66)+1,HOUR('Timesheet-Regular'!E66-'Timesheet-Regular'!D66))=9,'Timesheet-Regular'!F65&gt;8),"",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Yes","No"))))))))),"")</f>
        <v/>
      </c>
      <c r="G59" s="78">
        <f t="shared" si="0"/>
        <v>0</v>
      </c>
      <c r="H59" s="241"/>
      <c r="I59" s="203"/>
      <c r="J59" s="204"/>
      <c r="K59" s="204"/>
      <c r="L59" s="204"/>
      <c r="M59" s="204"/>
      <c r="N59" s="204"/>
      <c r="O59" s="204"/>
      <c r="P59" s="205"/>
    </row>
    <row r="60" spans="1:16" ht="15.5" x14ac:dyDescent="0.35">
      <c r="A60" s="133">
        <f>'Timesheet-Regular'!C67</f>
        <v>44771</v>
      </c>
      <c r="B60" s="71">
        <f>IFERROR(
IF('Timesheet-Regular'!J67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IF('Timesheet-Regular'!J67=0,0,'Timesheet-Regular'!D67),
IF('Timesheet-Regular'!$D$2="Sapta Sarana Sejahtera (Exim Bank)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IF('Timesheet-Regular'!$D$2="Bank Permata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67-TIME(('Timesheet-Regular'!F67-8),0,0),
IF(AND(IF(MINUTE('Timesheet-Regular'!E67-'Timesheet-Regular'!D67)&gt;29,HOUR('Timesheet-Regular'!E67-'Timesheet-Regular'!D67)+1,HOUR('Timesheet-Regular'!E67-'Timesheet-Regular'!D67))=9,'Timesheet-Regular'!F67&gt;8),0,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67+TIME(9,1,0)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=9,'Timesheet-Regular'!F67&gt;8),'Timesheet-Regular'!D67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'Timesheet-Regular'!D67+TIME(9,1,0),0))))))))),"")</f>
        <v>0</v>
      </c>
      <c r="C60" s="71">
        <f>IF(B60&gt;0,'Timesheet-Regular'!E67,0)</f>
        <v>0</v>
      </c>
      <c r="D60" s="79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MINUTE(C60-B60)&gt;0,HOUR(C60-B60)+1,HOUR(C60-B60)),IF(MINUTE(C60-B60)&gt;29,HOUR(C60-B60)+1,HOUR(C60-B60)))</f>
        <v>0</v>
      </c>
      <c r="E60" s="240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SUM(Sheet2!D60:D61),0)</f>
        <v>0</v>
      </c>
      <c r="F60" s="78" t="str">
        <f>IFERROR(IF(B60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B60&gt;0,"Yes","")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=12,'Timesheet-Regular'!F67&gt;11),"Yes",
IF(AND(IF(MINUTE('Timesheet-Regular'!E67-'Timesheet-Regular'!D67)&gt;29,HOUR('Timesheet-Regular'!E67-'Timesheet-Regular'!D67)+1,HOUR('Timesheet-Regular'!E67-'Timesheet-Regular'!D67))=12,'Timesheet-Regular'!F67&gt;11),"",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=12,'Timesheet-Regular'!F67&gt;11),"Yes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No"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"Yes","")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=9,'Timesheet-Regular'!F67&gt;8),"Yes",
IF(AND(IF(MINUTE('Timesheet-Regular'!E67-'Timesheet-Regular'!D67)&gt;29,HOUR('Timesheet-Regular'!E67-'Timesheet-Regular'!D67)+1,HOUR('Timesheet-Regular'!E67-'Timesheet-Regular'!D67))=9,'Timesheet-Regular'!F67&gt;8),"",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=9,'Timesheet-Regular'!F67&gt;8),"Yes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No"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"Yes",""))))))))),"")</f>
        <v/>
      </c>
      <c r="G60" s="78">
        <f t="shared" si="0"/>
        <v>0</v>
      </c>
      <c r="H60" s="240">
        <f>SUM(Sheet2!D60:D61)</f>
        <v>0</v>
      </c>
      <c r="I60" s="203"/>
      <c r="J60" s="204"/>
      <c r="K60" s="204"/>
      <c r="L60" s="204"/>
      <c r="M60" s="204"/>
      <c r="N60" s="204"/>
      <c r="O60" s="204"/>
      <c r="P60" s="205"/>
    </row>
    <row r="61" spans="1:16" ht="15.5" x14ac:dyDescent="0.35">
      <c r="A61" s="134"/>
      <c r="B61" s="71">
        <f>IF('Timesheet-Regular'!J68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IF('Timesheet-Regular'!D67=0,0,'Timesheet-Regular'!D68),
IF('Timesheet-Regular'!D68=0,0,
IF('Timesheet-Regular'!$D$2="Sapta Sarana Sejahtera (Exim Bank)",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11),'Timesheet-Regular'!E68-TIME(('Timesheet-Regular'!F67-10)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11),'Timesheet-Regular'!D68,
IF(AND(IF(MINUTE('Timesheet-Regular'!E67-'Timesheet-Regular'!D67)&gt;29,HOUR('Timesheet-Regular'!E67-'Timesheet-Regular'!D67)+1,HOUR('Timesheet-Regular'!E67-'Timesheet-Regular'!D67))=11,'Timesheet-Regular'!F67&gt;11),'Timesheet-Regular'!D68,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IF('Timesheet-Regular'!$D$2="Bank Permata",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68-TIME(('Timesheet-Regular'!F67-9)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68,
IF(AND(IF(MINUTE('Timesheet-Regular'!E67-'Timesheet-Regular'!D67)&gt;29,HOUR('Timesheet-Regular'!E67-'Timesheet-Regular'!D67)+1,HOUR('Timesheet-Regular'!E67-'Timesheet-Regular'!D67))=11,'Timesheet-Regular'!F67&gt;10),'Timesheet-Regular'!D68,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68-TIME(('Timesheet-Regular'!F67-8),0,0)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68,
IF(AND(IF(MINUTE('Timesheet-Regular'!E67-'Timesheet-Regular'!D67)&gt;29,HOUR('Timesheet-Regular'!E67-'Timesheet-Regular'!D67)+1,HOUR('Timesheet-Regular'!E67-'Timesheet-Regular'!D67))=9,'Timesheet-Regular'!F67&gt;8),'Timesheet-Regular'!D68,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'Timesheet-Regular'!D68+TIME(9,1,0),
IF(AND((IF(MINUTE('Timesheet-Regular'!E67-'Timesheet-Regular'!D67)&gt;29,HOUR('Timesheet-Regular'!E67-'Timesheet-Regular'!D67)+1,HOUR('Timesheet-Regular'!E67-'Timesheet-Regular'!D67))&gt;=9),(IF(MINUTE('Timesheet-Regular'!E68-'Timesheet-Regular'!D68)&gt;29,HOUR('Timesheet-Regular'!E68-'Timesheet-Regular'!D68)+1,HOUR('Timesheet-Regular'!E68-'Timesheet-Regular'!D68))&gt;=9)),'Timesheet-Regular'!D68,0))))))))))</f>
        <v>0</v>
      </c>
      <c r="C61" s="71">
        <f>IF(B61&gt;0,'Timesheet-Regular'!E68,0)</f>
        <v>0</v>
      </c>
      <c r="D61" s="79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AND(B61&gt;0,B61&lt;=C60),0,IF(MINUTE(C61-B61)&gt;0,HOUR(C61-B61)+1,HOUR(C61-B61))),IF(AND(B61&gt;0,B61&lt;=C60),0,IF(MINUTE(C61-B61)&gt;29,HOUR(C61-B61)+1,HOUR(C61-B61))))</f>
        <v>0</v>
      </c>
      <c r="E61" s="241"/>
      <c r="F61" s="78" t="str">
        <f>IFERROR(IF(B61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IF(AND(B61&gt;0,B61&lt;=C60),0,IF(B61=0,"","Yes")),
IF('Timesheet-Regular'!$D$2="Rabobank",
IF('Timesheet-Regular'!D68=0,"",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Yes",
IF(AND(IF(MINUTE('Timesheet-Regular'!E67-'Timesheet-Regular'!D67)&gt;29,HOUR('Timesheet-Regular'!E67-'Timesheet-Regular'!D67)+1,HOUR('Timesheet-Regular'!E67-'Timesheet-Regular'!D67))=12,IF(MINUTE('Timesheet-Regular'!E68-'Timesheet-Regular'!D68)&gt;29,HOUR('Timesheet-Regular'!E68-'Timesheet-Regular'!D68)+1,HOUR('Timesheet-Regular'!E68-'Timesheet-Regular'!D68))&gt;0,'Timesheet-Regular'!F67&gt;11),"Yes",
IF(AND(IF(MINUTE('Timesheet-Regular'!E68-'Timesheet-Regular'!D68)&gt;29,HOUR('Timesheet-Regular'!E68-'Timesheet-Regular'!D68)+1,HOUR('Timesheet-Regular'!E68-'Timesheet-Regular'!D68))=12,'Timesheet-Regular'!F67&gt;11),"",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Yes","No")))))),
IF('Timesheet-Regular'!D68=0,"",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Yes",
IF(AND(IF(MINUTE('Timesheet-Regular'!E67-'Timesheet-Regular'!D67)&gt;29,HOUR('Timesheet-Regular'!E67-'Timesheet-Regular'!D67)+1,HOUR('Timesheet-Regular'!E67-'Timesheet-Regular'!D67))=9,IF(MINUTE('Timesheet-Regular'!E68-'Timesheet-Regular'!D68)&gt;29,HOUR('Timesheet-Regular'!E68-'Timesheet-Regular'!D68)+1,HOUR('Timesheet-Regular'!E68-'Timesheet-Regular'!D68))&gt;0,'Timesheet-Regular'!F67&gt;8),"Yes",
IF(AND(IF(MINUTE('Timesheet-Regular'!E68-'Timesheet-Regular'!D68)&gt;29,HOUR('Timesheet-Regular'!E68-'Timesheet-Regular'!D68)+1,HOUR('Timesheet-Regular'!E68-'Timesheet-Regular'!D68))=9,'Timesheet-Regular'!F67&gt;8),"",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Yes","No"))))))))),"")</f>
        <v/>
      </c>
      <c r="G61" s="78">
        <f t="shared" si="0"/>
        <v>0</v>
      </c>
      <c r="H61" s="241"/>
      <c r="I61" s="203"/>
      <c r="J61" s="204"/>
      <c r="K61" s="204"/>
      <c r="L61" s="204"/>
      <c r="M61" s="204"/>
      <c r="N61" s="204"/>
      <c r="O61" s="204"/>
      <c r="P61" s="205"/>
    </row>
    <row r="62" spans="1:16" ht="15.5" x14ac:dyDescent="0.35">
      <c r="A62" s="133">
        <f>'Timesheet-Regular'!C69</f>
        <v>44772</v>
      </c>
      <c r="B62" s="71">
        <f>IFERROR(
IF('Timesheet-Regular'!J69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IF('Timesheet-Regular'!J69=0,0,'Timesheet-Regular'!D69),
IF('Timesheet-Regular'!$D$2="Sapta Sarana Sejahtera (Exim Bank)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IF('Timesheet-Regular'!$D$2="Bank Permata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69-TIME(('Timesheet-Regular'!F69-8),0,0),
IF(AND(IF(MINUTE('Timesheet-Regular'!E69-'Timesheet-Regular'!D69)&gt;29,HOUR('Timesheet-Regular'!E69-'Timesheet-Regular'!D69)+1,HOUR('Timesheet-Regular'!E69-'Timesheet-Regular'!D69))=9,'Timesheet-Regular'!F69&gt;8),0,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69+TIME(9,1,0)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=9,'Timesheet-Regular'!F69&gt;8),'Timesheet-Regular'!D69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'Timesheet-Regular'!D69+TIME(9,1,0),0))))))))),"")</f>
        <v>0</v>
      </c>
      <c r="C62" s="71">
        <f>IF(B62&gt;0,'Timesheet-Regular'!E69,0)</f>
        <v>0</v>
      </c>
      <c r="D62" s="79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MINUTE(C62-B62)&gt;0,HOUR(C62-B62)+1,HOUR(C62-B62)),IF(MINUTE(C62-B62)&gt;29,HOUR(C62-B62)+1,HOUR(C62-B62)))</f>
        <v>0</v>
      </c>
      <c r="E62" s="240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SUM(Sheet2!D62:D63),0)</f>
        <v>0</v>
      </c>
      <c r="F62" s="78" t="str">
        <f>IFERROR(IF(B62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B62&gt;0,"Yes","")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=12,'Timesheet-Regular'!F69&gt;11),"Yes",
IF(AND(IF(MINUTE('Timesheet-Regular'!E69-'Timesheet-Regular'!D69)&gt;29,HOUR('Timesheet-Regular'!E69-'Timesheet-Regular'!D69)+1,HOUR('Timesheet-Regular'!E69-'Timesheet-Regular'!D69))=12,'Timesheet-Regular'!F69&gt;11),"",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=12,'Timesheet-Regular'!F69&gt;11),"Yes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No"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"Yes","")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=9,'Timesheet-Regular'!F69&gt;8),"Yes",
IF(AND(IF(MINUTE('Timesheet-Regular'!E69-'Timesheet-Regular'!D69)&gt;29,HOUR('Timesheet-Regular'!E69-'Timesheet-Regular'!D69)+1,HOUR('Timesheet-Regular'!E69-'Timesheet-Regular'!D69))=9,'Timesheet-Regular'!F69&gt;8),"",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=9,'Timesheet-Regular'!F69&gt;8),"Yes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No"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"Yes",""))))))))),"")</f>
        <v/>
      </c>
      <c r="G62" s="78">
        <f t="shared" si="0"/>
        <v>0</v>
      </c>
      <c r="H62" s="240">
        <f>SUM(Sheet2!D62:D63)</f>
        <v>0</v>
      </c>
      <c r="I62" s="203"/>
      <c r="J62" s="204"/>
      <c r="K62" s="204"/>
      <c r="L62" s="204"/>
      <c r="M62" s="204"/>
      <c r="N62" s="204"/>
      <c r="O62" s="204"/>
      <c r="P62" s="205"/>
    </row>
    <row r="63" spans="1:16" ht="15.5" x14ac:dyDescent="0.35">
      <c r="A63" s="134"/>
      <c r="B63" s="71">
        <f>IF('Timesheet-Regular'!J70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IF('Timesheet-Regular'!D69=0,0,'Timesheet-Regular'!D70),
IF('Timesheet-Regular'!D70=0,0,
IF('Timesheet-Regular'!$D$2="Sapta Sarana Sejahtera (Exim Bank)",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11),'Timesheet-Regular'!E70-TIME(('Timesheet-Regular'!F69-10)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11),'Timesheet-Regular'!D70,
IF(AND(IF(MINUTE('Timesheet-Regular'!E69-'Timesheet-Regular'!D69)&gt;29,HOUR('Timesheet-Regular'!E69-'Timesheet-Regular'!D69)+1,HOUR('Timesheet-Regular'!E69-'Timesheet-Regular'!D69))=11,'Timesheet-Regular'!F69&gt;11),'Timesheet-Regular'!D70,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IF('Timesheet-Regular'!$D$2="Bank Permata",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70-TIME(('Timesheet-Regular'!F69-9)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70,
IF(AND(IF(MINUTE('Timesheet-Regular'!E69-'Timesheet-Regular'!D69)&gt;29,HOUR('Timesheet-Regular'!E69-'Timesheet-Regular'!D69)+1,HOUR('Timesheet-Regular'!E69-'Timesheet-Regular'!D69))=11,'Timesheet-Regular'!F69&gt;10),'Timesheet-Regular'!D70,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70-TIME(('Timesheet-Regular'!F69-8),0,0)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70,
IF(AND(IF(MINUTE('Timesheet-Regular'!E69-'Timesheet-Regular'!D69)&gt;29,HOUR('Timesheet-Regular'!E69-'Timesheet-Regular'!D69)+1,HOUR('Timesheet-Regular'!E69-'Timesheet-Regular'!D69))=9,'Timesheet-Regular'!F69&gt;8),'Timesheet-Regular'!D70,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'Timesheet-Regular'!D70+TIME(9,1,0),
IF(AND((IF(MINUTE('Timesheet-Regular'!E69-'Timesheet-Regular'!D69)&gt;29,HOUR('Timesheet-Regular'!E69-'Timesheet-Regular'!D69)+1,HOUR('Timesheet-Regular'!E69-'Timesheet-Regular'!D69))&gt;=9),(IF(MINUTE('Timesheet-Regular'!E70-'Timesheet-Regular'!D70)&gt;29,HOUR('Timesheet-Regular'!E70-'Timesheet-Regular'!D70)+1,HOUR('Timesheet-Regular'!E70-'Timesheet-Regular'!D70))&gt;=9)),'Timesheet-Regular'!D70,0))))))))))</f>
        <v>0</v>
      </c>
      <c r="C63" s="71">
        <f>IF(B63&gt;0,'Timesheet-Regular'!E70,0)</f>
        <v>0</v>
      </c>
      <c r="D63" s="79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AND(B63&gt;0,B63&lt;=C62),0,IF(MINUTE(C63-B63)&gt;0,HOUR(C63-B63)+1,HOUR(C63-B63))),IF(AND(B63&gt;0,B63&lt;=C62),0,IF(MINUTE(C63-B63)&gt;29,HOUR(C63-B63)+1,HOUR(C63-B63))))</f>
        <v>0</v>
      </c>
      <c r="E63" s="241"/>
      <c r="F63" s="78" t="str">
        <f>IFERROR(IF(B63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IF(AND(B63&gt;0,B63&lt;=C62),0,IF(B63=0,"","Yes")),
IF('Timesheet-Regular'!$D$2="Rabobank",
IF('Timesheet-Regular'!D70=0,"",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Yes",
IF(AND(IF(MINUTE('Timesheet-Regular'!E69-'Timesheet-Regular'!D69)&gt;29,HOUR('Timesheet-Regular'!E69-'Timesheet-Regular'!D69)+1,HOUR('Timesheet-Regular'!E69-'Timesheet-Regular'!D69))=12,IF(MINUTE('Timesheet-Regular'!E70-'Timesheet-Regular'!D70)&gt;29,HOUR('Timesheet-Regular'!E70-'Timesheet-Regular'!D70)+1,HOUR('Timesheet-Regular'!E70-'Timesheet-Regular'!D70))&gt;0,'Timesheet-Regular'!F69&gt;11),"Yes",
IF(AND(IF(MINUTE('Timesheet-Regular'!E70-'Timesheet-Regular'!D70)&gt;29,HOUR('Timesheet-Regular'!E70-'Timesheet-Regular'!D70)+1,HOUR('Timesheet-Regular'!E70-'Timesheet-Regular'!D70))=12,'Timesheet-Regular'!F69&gt;11),"",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Yes","No")))))),
IF('Timesheet-Regular'!D70=0,"",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Yes",
IF(AND(IF(MINUTE('Timesheet-Regular'!E69-'Timesheet-Regular'!D69)&gt;29,HOUR('Timesheet-Regular'!E69-'Timesheet-Regular'!D69)+1,HOUR('Timesheet-Regular'!E69-'Timesheet-Regular'!D69))=9,IF(MINUTE('Timesheet-Regular'!E70-'Timesheet-Regular'!D70)&gt;29,HOUR('Timesheet-Regular'!E70-'Timesheet-Regular'!D70)+1,HOUR('Timesheet-Regular'!E70-'Timesheet-Regular'!D70))&gt;0,'Timesheet-Regular'!F69&gt;8),"Yes",
IF(AND(IF(MINUTE('Timesheet-Regular'!E70-'Timesheet-Regular'!D70)&gt;29,HOUR('Timesheet-Regular'!E70-'Timesheet-Regular'!D70)+1,HOUR('Timesheet-Regular'!E70-'Timesheet-Regular'!D70))=9,'Timesheet-Regular'!F69&gt;8),"",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Yes","No"))))))))),"")</f>
        <v/>
      </c>
      <c r="G63" s="78">
        <f t="shared" si="0"/>
        <v>0</v>
      </c>
      <c r="H63" s="241"/>
      <c r="I63" s="203"/>
      <c r="J63" s="204"/>
      <c r="K63" s="204"/>
      <c r="L63" s="204"/>
      <c r="M63" s="204"/>
      <c r="N63" s="204"/>
      <c r="O63" s="204"/>
      <c r="P63" s="205"/>
    </row>
    <row r="64" spans="1:16" ht="15.5" x14ac:dyDescent="0.35">
      <c r="A64" s="133">
        <f>'Timesheet-Regular'!C71</f>
        <v>44773</v>
      </c>
      <c r="B64" s="71">
        <f>IFERROR(
IF('Timesheet-Regular'!J71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IF('Timesheet-Regular'!J71=0,0,'Timesheet-Regular'!D71),
IF('Timesheet-Regular'!$D$2="Sapta Sarana Sejahtera (Exim Bank)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IF('Timesheet-Regular'!$D$2="Bank Permata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71-TIME(('Timesheet-Regular'!F71-8),0,0),
IF(AND(IF(MINUTE('Timesheet-Regular'!E71-'Timesheet-Regular'!D71)&gt;29,HOUR('Timesheet-Regular'!E71-'Timesheet-Regular'!D71)+1,HOUR('Timesheet-Regular'!E71-'Timesheet-Regular'!D71))=9,'Timesheet-Regular'!F71&gt;8),0,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71+TIME(9,1,0)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=9,'Timesheet-Regular'!F71&gt;8),'Timesheet-Regular'!D71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'Timesheet-Regular'!D71+TIME(9,1,0),0))))))))),"")</f>
        <v>0</v>
      </c>
      <c r="C64" s="71">
        <f>IF(B64&gt;0,'Timesheet-Regular'!E71,0)</f>
        <v>0</v>
      </c>
      <c r="D64" s="79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MINUTE(C64-B64)&gt;0,HOUR(C64-B64)+1,HOUR(C64-B64)),IF(MINUTE(C64-B64)&gt;29,HOUR(C64-B64)+1,HOUR(C64-B64)))</f>
        <v>0</v>
      </c>
      <c r="E64" s="240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SUM(Sheet2!D64:D65),0)</f>
        <v>0</v>
      </c>
      <c r="F64" s="78" t="str">
        <f>IFERROR(IF(B64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B64&gt;0,"Yes","")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=12,'Timesheet-Regular'!F71&gt;11),"Yes",
IF(AND(IF(MINUTE('Timesheet-Regular'!E71-'Timesheet-Regular'!D71)&gt;29,HOUR('Timesheet-Regular'!E71-'Timesheet-Regular'!D71)+1,HOUR('Timesheet-Regular'!E71-'Timesheet-Regular'!D71))=12,'Timesheet-Regular'!F71&gt;11),"",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=12,'Timesheet-Regular'!F71&gt;11),"Yes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No"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"Yes","")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=9,'Timesheet-Regular'!F71&gt;8),"Yes",
IF(AND(IF(MINUTE('Timesheet-Regular'!E71-'Timesheet-Regular'!D71)&gt;29,HOUR('Timesheet-Regular'!E71-'Timesheet-Regular'!D71)+1,HOUR('Timesheet-Regular'!E71-'Timesheet-Regular'!D71))=9,'Timesheet-Regular'!F71&gt;8),"",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=9,'Timesheet-Regular'!F71&gt;8),"Yes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No"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"Yes",""))))))))),"")</f>
        <v/>
      </c>
      <c r="G64" s="78">
        <f t="shared" si="0"/>
        <v>0</v>
      </c>
      <c r="H64" s="240">
        <f>SUM(Sheet2!D64:D65)</f>
        <v>0</v>
      </c>
      <c r="I64" s="203"/>
      <c r="J64" s="204"/>
      <c r="K64" s="204"/>
      <c r="L64" s="204"/>
      <c r="M64" s="204"/>
      <c r="N64" s="204"/>
      <c r="O64" s="204"/>
      <c r="P64" s="205"/>
    </row>
    <row r="65" spans="1:16" ht="15.5" x14ac:dyDescent="0.35">
      <c r="A65" s="134"/>
      <c r="B65" s="71">
        <f>IF('Timesheet-Regular'!J72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IF('Timesheet-Regular'!D71=0,0,'Timesheet-Regular'!D72),
IF('Timesheet-Regular'!D72=0,0,
IF('Timesheet-Regular'!$D$2="Sapta Sarana Sejahtera (Exim Bank)",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11),'Timesheet-Regular'!E72-TIME(('Timesheet-Regular'!F71-10)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11),'Timesheet-Regular'!D72,
IF(AND(IF(MINUTE('Timesheet-Regular'!E71-'Timesheet-Regular'!D71)&gt;29,HOUR('Timesheet-Regular'!E71-'Timesheet-Regular'!D71)+1,HOUR('Timesheet-Regular'!E71-'Timesheet-Regular'!D71))=11,'Timesheet-Regular'!F71&gt;11),'Timesheet-Regular'!D72,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IF('Timesheet-Regular'!$D$2="Bank Permata",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72-TIME(('Timesheet-Regular'!F71-9)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72,
IF(AND(IF(MINUTE('Timesheet-Regular'!E71-'Timesheet-Regular'!D71)&gt;29,HOUR('Timesheet-Regular'!E71-'Timesheet-Regular'!D71)+1,HOUR('Timesheet-Regular'!E71-'Timesheet-Regular'!D71))=11,'Timesheet-Regular'!F71&gt;10),'Timesheet-Regular'!D72,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72-TIME(('Timesheet-Regular'!F71-8),0,0)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72,
IF(AND(IF(MINUTE('Timesheet-Regular'!E71-'Timesheet-Regular'!D71)&gt;29,HOUR('Timesheet-Regular'!E71-'Timesheet-Regular'!D71)+1,HOUR('Timesheet-Regular'!E71-'Timesheet-Regular'!D71))=9,'Timesheet-Regular'!F71&gt;8),'Timesheet-Regular'!D72,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'Timesheet-Regular'!D72+TIME(9,1,0),
IF(AND((IF(MINUTE('Timesheet-Regular'!E71-'Timesheet-Regular'!D71)&gt;29,HOUR('Timesheet-Regular'!E71-'Timesheet-Regular'!D71)+1,HOUR('Timesheet-Regular'!E71-'Timesheet-Regular'!D71))&gt;=9),(IF(MINUTE('Timesheet-Regular'!E72-'Timesheet-Regular'!D72)&gt;29,HOUR('Timesheet-Regular'!E72-'Timesheet-Regular'!D72)+1,HOUR('Timesheet-Regular'!E72-'Timesheet-Regular'!D72))&gt;=9)),'Timesheet-Regular'!D72,0))))))))))</f>
        <v>0</v>
      </c>
      <c r="C65" s="71">
        <f>IF(B65&gt;0,'Timesheet-Regular'!E72,0)</f>
        <v>0</v>
      </c>
      <c r="D65" s="79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AND(B65&gt;0,B65&lt;=C64),0,IF(MINUTE(C65-B65)&gt;0,HOUR(C65-B65)+1,HOUR(C65-B65))),IF(AND(B65&gt;0,B65&lt;=C64),0,IF(MINUTE(C65-B65)&gt;29,HOUR(C65-B65)+1,HOUR(C65-B65))))</f>
        <v>0</v>
      </c>
      <c r="E65" s="241"/>
      <c r="F65" s="78" t="str">
        <f>IFERROR(IF(B65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IF(AND(B65&gt;0,B65&lt;=C64),0,IF(B65=0,"","Yes")),
IF('Timesheet-Regular'!$D$2="Rabobank",
IF('Timesheet-Regular'!D72=0,"",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Yes",
IF(AND(IF(MINUTE('Timesheet-Regular'!E71-'Timesheet-Regular'!D71)&gt;29,HOUR('Timesheet-Regular'!E71-'Timesheet-Regular'!D71)+1,HOUR('Timesheet-Regular'!E71-'Timesheet-Regular'!D71))=12,IF(MINUTE('Timesheet-Regular'!E72-'Timesheet-Regular'!D72)&gt;29,HOUR('Timesheet-Regular'!E72-'Timesheet-Regular'!D72)+1,HOUR('Timesheet-Regular'!E72-'Timesheet-Regular'!D72))&gt;0,'Timesheet-Regular'!F71&gt;11),"Yes",
IF(AND(IF(MINUTE('Timesheet-Regular'!E72-'Timesheet-Regular'!D72)&gt;29,HOUR('Timesheet-Regular'!E72-'Timesheet-Regular'!D72)+1,HOUR('Timesheet-Regular'!E72-'Timesheet-Regular'!D72))=12,'Timesheet-Regular'!F71&gt;11),"",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Yes","No")))))),
IF('Timesheet-Regular'!D72=0,"",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Yes",
IF(AND(IF(MINUTE('Timesheet-Regular'!E71-'Timesheet-Regular'!D71)&gt;29,HOUR('Timesheet-Regular'!E71-'Timesheet-Regular'!D71)+1,HOUR('Timesheet-Regular'!E71-'Timesheet-Regular'!D71))=9,IF(MINUTE('Timesheet-Regular'!E72-'Timesheet-Regular'!D72)&gt;29,HOUR('Timesheet-Regular'!E72-'Timesheet-Regular'!D72)+1,HOUR('Timesheet-Regular'!E72-'Timesheet-Regular'!D72))&gt;0,'Timesheet-Regular'!F71&gt;8),"Yes",
IF(AND(IF(MINUTE('Timesheet-Regular'!E72-'Timesheet-Regular'!D72)&gt;29,HOUR('Timesheet-Regular'!E72-'Timesheet-Regular'!D72)+1,HOUR('Timesheet-Regular'!E72-'Timesheet-Regular'!D72))=9,'Timesheet-Regular'!F71&gt;8),"",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Yes","No"))))))))),"")</f>
        <v/>
      </c>
      <c r="G65" s="78">
        <f t="shared" si="0"/>
        <v>0</v>
      </c>
      <c r="H65" s="241"/>
      <c r="I65" s="203"/>
      <c r="J65" s="204"/>
      <c r="K65" s="204"/>
      <c r="L65" s="204"/>
      <c r="M65" s="204"/>
      <c r="N65" s="204"/>
      <c r="O65" s="204"/>
      <c r="P65" s="205"/>
    </row>
  </sheetData>
  <sheetProtection password="ADC2" sheet="1" objects="1" scenarios="1"/>
  <mergeCells count="156">
    <mergeCell ref="H58:H59"/>
    <mergeCell ref="H60:H61"/>
    <mergeCell ref="H62:H63"/>
    <mergeCell ref="H64:H65"/>
    <mergeCell ref="H40:H41"/>
    <mergeCell ref="H42:H43"/>
    <mergeCell ref="H44:H45"/>
    <mergeCell ref="H46:H47"/>
    <mergeCell ref="H48:H49"/>
    <mergeCell ref="H50:H51"/>
    <mergeCell ref="H52:H53"/>
    <mergeCell ref="H54:H55"/>
    <mergeCell ref="H56:H57"/>
    <mergeCell ref="H22:H23"/>
    <mergeCell ref="H24:H25"/>
    <mergeCell ref="H26:H27"/>
    <mergeCell ref="H28:H29"/>
    <mergeCell ref="H30:H31"/>
    <mergeCell ref="H32:H33"/>
    <mergeCell ref="H34:H35"/>
    <mergeCell ref="H36:H37"/>
    <mergeCell ref="H38:H39"/>
    <mergeCell ref="H4:H5"/>
    <mergeCell ref="H6:H7"/>
    <mergeCell ref="H8:H9"/>
    <mergeCell ref="H10:H11"/>
    <mergeCell ref="H12:H13"/>
    <mergeCell ref="H14:H15"/>
    <mergeCell ref="H16:H17"/>
    <mergeCell ref="H18:H19"/>
    <mergeCell ref="H20:H21"/>
    <mergeCell ref="A58:A59"/>
    <mergeCell ref="A60:A61"/>
    <mergeCell ref="A62:A63"/>
    <mergeCell ref="A40:A41"/>
    <mergeCell ref="A42:A43"/>
    <mergeCell ref="A44:A45"/>
    <mergeCell ref="A46:A47"/>
    <mergeCell ref="A48:A49"/>
    <mergeCell ref="A50:A51"/>
    <mergeCell ref="A52:A53"/>
    <mergeCell ref="A54:A55"/>
    <mergeCell ref="A56:A57"/>
    <mergeCell ref="A22:A23"/>
    <mergeCell ref="A24:A25"/>
    <mergeCell ref="A26:A27"/>
    <mergeCell ref="A28:A29"/>
    <mergeCell ref="A30:A31"/>
    <mergeCell ref="A32:A33"/>
    <mergeCell ref="A34:A35"/>
    <mergeCell ref="A36:A37"/>
    <mergeCell ref="A38:A39"/>
    <mergeCell ref="A4:A5"/>
    <mergeCell ref="A6:A7"/>
    <mergeCell ref="A8:A9"/>
    <mergeCell ref="A10:A11"/>
    <mergeCell ref="A12:A13"/>
    <mergeCell ref="A14:A15"/>
    <mergeCell ref="A16:A17"/>
    <mergeCell ref="A18:A19"/>
    <mergeCell ref="A20:A21"/>
    <mergeCell ref="I10:P10"/>
    <mergeCell ref="I11:P11"/>
    <mergeCell ref="I8:P8"/>
    <mergeCell ref="I9:P9"/>
    <mergeCell ref="I6:P6"/>
    <mergeCell ref="I7:P7"/>
    <mergeCell ref="I3:P3"/>
    <mergeCell ref="I4:P4"/>
    <mergeCell ref="I5:P5"/>
    <mergeCell ref="I20:P20"/>
    <mergeCell ref="I21:P21"/>
    <mergeCell ref="I18:P18"/>
    <mergeCell ref="I19:P19"/>
    <mergeCell ref="I16:P16"/>
    <mergeCell ref="I17:P17"/>
    <mergeCell ref="I14:P14"/>
    <mergeCell ref="I15:P15"/>
    <mergeCell ref="I12:P12"/>
    <mergeCell ref="I13:P13"/>
    <mergeCell ref="I30:P30"/>
    <mergeCell ref="I31:P31"/>
    <mergeCell ref="I28:P28"/>
    <mergeCell ref="I29:P29"/>
    <mergeCell ref="I26:P26"/>
    <mergeCell ref="I27:P27"/>
    <mergeCell ref="I24:P24"/>
    <mergeCell ref="I25:P25"/>
    <mergeCell ref="I22:P22"/>
    <mergeCell ref="I23:P23"/>
    <mergeCell ref="I40:P40"/>
    <mergeCell ref="I41:P41"/>
    <mergeCell ref="I38:P38"/>
    <mergeCell ref="I39:P39"/>
    <mergeCell ref="I36:P36"/>
    <mergeCell ref="I37:P37"/>
    <mergeCell ref="I34:P34"/>
    <mergeCell ref="I35:P35"/>
    <mergeCell ref="I32:P32"/>
    <mergeCell ref="I33:P33"/>
    <mergeCell ref="I50:P50"/>
    <mergeCell ref="I51:P51"/>
    <mergeCell ref="I48:P48"/>
    <mergeCell ref="I49:P49"/>
    <mergeCell ref="I46:P46"/>
    <mergeCell ref="I47:P47"/>
    <mergeCell ref="I44:P44"/>
    <mergeCell ref="I45:P45"/>
    <mergeCell ref="I42:P42"/>
    <mergeCell ref="I43:P43"/>
    <mergeCell ref="I61:P61"/>
    <mergeCell ref="I58:P58"/>
    <mergeCell ref="I59:P59"/>
    <mergeCell ref="I56:P56"/>
    <mergeCell ref="I57:P57"/>
    <mergeCell ref="I54:P54"/>
    <mergeCell ref="I55:P55"/>
    <mergeCell ref="I52:P52"/>
    <mergeCell ref="I53:P53"/>
    <mergeCell ref="E30:E31"/>
    <mergeCell ref="E32:E33"/>
    <mergeCell ref="E34:E35"/>
    <mergeCell ref="E36:E37"/>
    <mergeCell ref="E38:E39"/>
    <mergeCell ref="A64:A65"/>
    <mergeCell ref="I64:P64"/>
    <mergeCell ref="I65:P65"/>
    <mergeCell ref="E4:E5"/>
    <mergeCell ref="E6:E7"/>
    <mergeCell ref="E8:E9"/>
    <mergeCell ref="E10:E11"/>
    <mergeCell ref="E12:E13"/>
    <mergeCell ref="E14:E15"/>
    <mergeCell ref="E16:E17"/>
    <mergeCell ref="E18:E19"/>
    <mergeCell ref="E20:E21"/>
    <mergeCell ref="E22:E23"/>
    <mergeCell ref="E24:E25"/>
    <mergeCell ref="E26:E27"/>
    <mergeCell ref="E28:E29"/>
    <mergeCell ref="I62:P62"/>
    <mergeCell ref="I63:P63"/>
    <mergeCell ref="I60:P60"/>
    <mergeCell ref="E60:E61"/>
    <mergeCell ref="E62:E63"/>
    <mergeCell ref="E64:E65"/>
    <mergeCell ref="E50:E51"/>
    <mergeCell ref="E52:E53"/>
    <mergeCell ref="E54:E55"/>
    <mergeCell ref="E56:E57"/>
    <mergeCell ref="E58:E59"/>
    <mergeCell ref="E40:E41"/>
    <mergeCell ref="E42:E43"/>
    <mergeCell ref="E44:E45"/>
    <mergeCell ref="E46:E47"/>
    <mergeCell ref="E48:E4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Flow Timesheet Submission</vt:lpstr>
      <vt:lpstr>Macro Activation</vt:lpstr>
      <vt:lpstr>General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Emerio</dc:creator>
  <cp:lastModifiedBy>Fairuza Hidayat (AP)</cp:lastModifiedBy>
  <cp:lastPrinted>2022-04-21T06:20:13Z</cp:lastPrinted>
  <dcterms:created xsi:type="dcterms:W3CDTF">2015-10-01T08:51:08Z</dcterms:created>
  <dcterms:modified xsi:type="dcterms:W3CDTF">2022-06-30T03:31:51Z</dcterms:modified>
</cp:coreProperties>
</file>